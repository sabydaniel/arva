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ipmax\Develop\"/>
    </mc:Choice>
  </mc:AlternateContent>
  <xr:revisionPtr revIDLastSave="0" documentId="8_{7D150EDC-CC34-43E3-83A3-CC384122909E}" xr6:coauthVersionLast="47" xr6:coauthVersionMax="47" xr10:uidLastSave="{00000000-0000-0000-0000-000000000000}"/>
  <bookViews>
    <workbookView xWindow="-110" yWindow="-110" windowWidth="19420" windowHeight="11500" tabRatio="725" xr2:uid="{00000000-000D-0000-FFFF-FFFF00000000}"/>
  </bookViews>
  <sheets>
    <sheet name="Job Analysis by Client" sheetId="3" r:id="rId1"/>
    <sheet name="Sort" sheetId="15" state="veryHidden" r:id="rId2"/>
    <sheet name="Filter" sheetId="5" state="veryHidden" r:id="rId3"/>
    <sheet name="GroupBys" sheetId="10" state="veryHidden" r:id="rId4"/>
  </sheets>
  <definedNames>
    <definedName name="_xlnm.Print_Titles" localSheetId="0">'Job Analysis by Client'!$1:$12</definedName>
    <definedName name="ShipmentHeadings">#REF!,#REF!,#REF!,#REF!,#REF!,#REF!,#REF!,#REF!,#REF!,#REF!,#REF!,#REF!,#REF!,#REF!,#REF!,#REF!,#REF!,#REF!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" i="3" l="1"/>
  <c r="J27" i="3"/>
  <c r="L27" i="3" s="1"/>
  <c r="I27" i="3"/>
  <c r="H27" i="3"/>
  <c r="G27" i="3"/>
  <c r="M27" i="3" s="1"/>
  <c r="F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</calcChain>
</file>

<file path=xl/sharedStrings.xml><?xml version="1.0" encoding="utf-8"?>
<sst xmlns="http://schemas.openxmlformats.org/spreadsheetml/2006/main" count="250" uniqueCount="166">
  <si>
    <t>SubstituteMaxDateForNullTo</t>
  </si>
  <si>
    <t>SubstituteMinDateForNullFrom</t>
  </si>
  <si>
    <t>B</t>
  </si>
  <si>
    <t>All Shipments and Standalone Declarations</t>
  </si>
  <si>
    <t>Mode, Direction and Type Filters</t>
  </si>
  <si>
    <t>Staff Multiple Selection Lookup</t>
  </si>
  <si>
    <t>Staff Filters</t>
  </si>
  <si>
    <t>Person, Role and Department Optional Staff Filters</t>
  </si>
  <si>
    <t>F</t>
  </si>
  <si>
    <t>Staff Role</t>
  </si>
  <si>
    <t>JSAL</t>
  </si>
  <si>
    <t>JOP</t>
  </si>
  <si>
    <t>#end</t>
  </si>
  <si>
    <t>Type</t>
  </si>
  <si>
    <t>MultipleChoice</t>
  </si>
  <si>
    <t>Style</t>
  </si>
  <si>
    <t>DropDown</t>
  </si>
  <si>
    <t>Option</t>
  </si>
  <si>
    <t>CUS</t>
  </si>
  <si>
    <t>Date Range</t>
  </si>
  <si>
    <t xml:space="preserve">Type </t>
  </si>
  <si>
    <t>Job Branch</t>
  </si>
  <si>
    <t>branch multiple selection lookup</t>
  </si>
  <si>
    <t>department multiple selection lookup</t>
  </si>
  <si>
    <t>Job Sales Rep</t>
  </si>
  <si>
    <t>Job Operator</t>
  </si>
  <si>
    <t>Transaction Branch</t>
  </si>
  <si>
    <t>transaction branch multiple selection lookup</t>
  </si>
  <si>
    <t>transaction department multiple selection lookup</t>
  </si>
  <si>
    <t>charge code multiple selection lookup</t>
  </si>
  <si>
    <t>All</t>
  </si>
  <si>
    <t>Checkbox</t>
  </si>
  <si>
    <t>Options</t>
  </si>
  <si>
    <t>Y</t>
  </si>
  <si>
    <t>Branch, Department and Other Optional Transaction Filters</t>
  </si>
  <si>
    <t>S</t>
  </si>
  <si>
    <t>Job Type</t>
  </si>
  <si>
    <t>Transactions</t>
  </si>
  <si>
    <t>Tab</t>
  </si>
  <si>
    <t>Transaction Dept</t>
  </si>
  <si>
    <t>Transport Mode</t>
  </si>
  <si>
    <t>Import</t>
  </si>
  <si>
    <t>Export</t>
  </si>
  <si>
    <t>Code</t>
  </si>
  <si>
    <t>Period 1</t>
  </si>
  <si>
    <t>Period 2</t>
  </si>
  <si>
    <t>Staff Member</t>
  </si>
  <si>
    <t>ACT</t>
  </si>
  <si>
    <t>CAR</t>
  </si>
  <si>
    <t>CON</t>
  </si>
  <si>
    <t>SAL</t>
  </si>
  <si>
    <t>CRE</t>
  </si>
  <si>
    <t>CAG</t>
  </si>
  <si>
    <t>SEA</t>
  </si>
  <si>
    <t>AIR</t>
  </si>
  <si>
    <t>RAI</t>
  </si>
  <si>
    <t>Freight Filters</t>
  </si>
  <si>
    <t>Limit Report to Charge Code</t>
  </si>
  <si>
    <t>Air Freight</t>
  </si>
  <si>
    <t>Sea Freight</t>
  </si>
  <si>
    <t>FSA</t>
  </si>
  <si>
    <t>First by Sea then by Air Freight</t>
  </si>
  <si>
    <t>FAS</t>
  </si>
  <si>
    <t>First by Air then by Sea Freight</t>
  </si>
  <si>
    <t>ROA</t>
  </si>
  <si>
    <t>Road Freight</t>
  </si>
  <si>
    <t>Rail Freight</t>
  </si>
  <si>
    <t>COU</t>
  </si>
  <si>
    <t>Courier</t>
  </si>
  <si>
    <t>OTH</t>
  </si>
  <si>
    <t>Consignor or Consignee</t>
  </si>
  <si>
    <t>Default</t>
  </si>
  <si>
    <t>Attributed To</t>
  </si>
  <si>
    <t>Direction Type</t>
  </si>
  <si>
    <t>IMP</t>
  </si>
  <si>
    <t>EXP</t>
  </si>
  <si>
    <t>Billing Client</t>
  </si>
  <si>
    <t>Required</t>
  </si>
  <si>
    <t>I</t>
  </si>
  <si>
    <t xml:space="preserve">Default </t>
  </si>
  <si>
    <t>Job Dept.</t>
  </si>
  <si>
    <t>Staff Dept.</t>
  </si>
  <si>
    <t>OH_Code</t>
  </si>
  <si>
    <t>Job Open Dates</t>
  </si>
  <si>
    <t>Report By</t>
  </si>
  <si>
    <t>Select Jobs by</t>
  </si>
  <si>
    <t>None</t>
  </si>
  <si>
    <t>Grand Total:</t>
  </si>
  <si>
    <t>ReportData.GS_Code</t>
  </si>
  <si>
    <t>Staff</t>
  </si>
  <si>
    <t>ReportData.OH_Code</t>
  </si>
  <si>
    <t>Freight Dates (Import ETA, Export ETD or Registration Date)</t>
  </si>
  <si>
    <t>Other / Cross Trade</t>
  </si>
  <si>
    <t>Only Report Shipments</t>
  </si>
  <si>
    <t>Only Report Standalone Declarations</t>
  </si>
  <si>
    <t>Group by Job Sales Representative</t>
  </si>
  <si>
    <t>Group by Job Operator</t>
  </si>
  <si>
    <t>Group by Client Account Manager</t>
  </si>
  <si>
    <t>Group by Client Customer Service Rep.</t>
  </si>
  <si>
    <t>Group by Client Customs Agent</t>
  </si>
  <si>
    <t>Group by Client Cartage Coordinator</t>
  </si>
  <si>
    <t>Group by Client Controller</t>
  </si>
  <si>
    <t>Group by Client Credit Controller</t>
  </si>
  <si>
    <t>Forwarding - Job Analysis by Client</t>
  </si>
  <si>
    <t>Client Commenced</t>
  </si>
  <si>
    <t>Note: The Period date ranges in this report select Jobs for analysis. 
The value of Income (WIP + REV) and Profit (WIP+REV-ACR-CST) include ALL transactions on those jobs, irrespective of the accounting period when transactions were posted.</t>
  </si>
  <si>
    <t>JH_CountPeriod1 DESC, OH_Code ASC</t>
  </si>
  <si>
    <t>Job Count Period 2</t>
  </si>
  <si>
    <t>Job Count Period 1</t>
  </si>
  <si>
    <t>AL_JobRevenuePeriod1 DESC, OH_Code ASC</t>
  </si>
  <si>
    <t>Job Income Period 2</t>
  </si>
  <si>
    <t>Job Income Period 1</t>
  </si>
  <si>
    <t>AL_JobRevenuePeriod2 DESC, OH_Code ASC</t>
  </si>
  <si>
    <t>Job Profit Period 1</t>
  </si>
  <si>
    <t>AL_JobProfitPeriod1 DESC, OH_Code ASC</t>
  </si>
  <si>
    <t>Job Profit Period 2</t>
  </si>
  <si>
    <t>AL_JobProfitPeriod2 DESC, OH_Code ASC</t>
  </si>
  <si>
    <t>JH_CountPeriod2 DESC, OH_Code ASC</t>
  </si>
  <si>
    <t>Totals by Organization</t>
  </si>
  <si>
    <t>Group by Client Sales Representative</t>
  </si>
  <si>
    <t>Analyze by Local Client on Job</t>
  </si>
  <si>
    <t>Analyze by Consignor or Consignee</t>
  </si>
  <si>
    <t>Report by Attributed to Organization</t>
  </si>
  <si>
    <t>Organization</t>
  </si>
  <si>
    <t>MaxAllowableSelections</t>
  </si>
  <si>
    <t>Organisation Name</t>
  </si>
  <si>
    <t>CLARION LOGISTICS INDIA PVT. LTD. (IND)</t>
  </si>
  <si>
    <t xml:space="preserve">Standard Filters: From: 01-Jan-26 To: 30-Jan-26 From: 01-Feb-26 To: 06-Feb-26 Report By: Billing Client Attributed To:  Select Jobs by: I Staff Role: None Client Commenced: </t>
  </si>
  <si>
    <t xml:space="preserve">Freight Filters: </t>
  </si>
  <si>
    <t xml:space="preserve">Transaction and Job Filters: </t>
  </si>
  <si>
    <t xml:space="preserve">Staff Filters: </t>
  </si>
  <si>
    <t>Printed by: Nimitha Jacob 06-Feb-26 10:29 AM</t>
  </si>
  <si>
    <t>Local Currency: INR</t>
  </si>
  <si>
    <t>Client Commence</t>
  </si>
  <si>
    <t>Jobs Period 1</t>
  </si>
  <si>
    <t>Jobs Period 2</t>
  </si>
  <si>
    <t>Avg Job Profit Period 1</t>
  </si>
  <si>
    <t>Avg Job Profit Period 2</t>
  </si>
  <si>
    <t>ADAPHATKY</t>
  </si>
  <si>
    <t>ADAPHARMA LTD</t>
  </si>
  <si>
    <t>ASKINTJAI</t>
  </si>
  <si>
    <t>ASK INTERNATIONAL</t>
  </si>
  <si>
    <t>BLA002</t>
  </si>
  <si>
    <t>BLASTCLEAN SYSTEMS PRIVATE LIMITED</t>
  </si>
  <si>
    <t>CITY001</t>
  </si>
  <si>
    <t>CITY CAT CHEMICALS</t>
  </si>
  <si>
    <t>CLAO001</t>
  </si>
  <si>
    <t>CLARION ORGANICS LIMITED</t>
  </si>
  <si>
    <t>CSELECDEL1</t>
  </si>
  <si>
    <t>C AND S ELECTRIC LIMITED</t>
  </si>
  <si>
    <t>CUMINDBOM</t>
  </si>
  <si>
    <t>CUMMINS INDIA LIMITED (CIL)</t>
  </si>
  <si>
    <t>GEE01</t>
  </si>
  <si>
    <t>GEE LIMITED</t>
  </si>
  <si>
    <t>GRECONBOM</t>
  </si>
  <si>
    <t>GREENSHIELD CONSTROCHEM PVT LTD</t>
  </si>
  <si>
    <t>MAKH001</t>
  </si>
  <si>
    <t>MAKHARIA ELECTRICALS PVT.LTD</t>
  </si>
  <si>
    <t>SMRUT01</t>
  </si>
  <si>
    <t>SMRUTHI ORGANICS LIMITED</t>
  </si>
  <si>
    <t>STRBLAHAR</t>
  </si>
  <si>
    <t>STROM BLAST LLP</t>
  </si>
  <si>
    <t>SUAN01</t>
  </si>
  <si>
    <t>SUANKAR INTERNATIONAL</t>
  </si>
  <si>
    <t>UNIEXPBOM</t>
  </si>
  <si>
    <t>UNIQUE EXPORTS GLOBAL TRADE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</si>
</sst>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9]dd\-mmm\-yy;@"/>
  </numFmts>
  <fonts count="10" x14ac:knownFonts="1">
    <font>
      <sz val="10"/>
      <name val="Arial"/>
    </font>
    <font>
      <sz val="8"/>
      <name val="Arial"/>
    </font>
    <font>
      <sz val="8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auto="1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Continuous"/>
    </xf>
    <xf numFmtId="0" fontId="2" fillId="0" borderId="0" xfId="0" applyFont="1" applyAlignment="1">
      <alignment vertical="top"/>
    </xf>
    <xf numFmtId="0" fontId="6" fillId="0" borderId="0" xfId="0" applyFont="1"/>
    <xf numFmtId="4" fontId="5" fillId="0" borderId="0" xfId="0" applyNumberFormat="1" applyFont="1"/>
    <xf numFmtId="4" fontId="5" fillId="0" borderId="0" xfId="0" applyNumberFormat="1" applyFont="1" applyAlignment="1">
      <alignment horizontal="right" vertical="top"/>
    </xf>
    <xf numFmtId="164" fontId="2" fillId="0" borderId="0" xfId="0" applyNumberFormat="1" applyFont="1"/>
    <xf numFmtId="0" fontId="5" fillId="0" borderId="0" xfId="0" applyFont="1" applyAlignment="1">
      <alignment horizontal="right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/>
    <xf numFmtId="4" fontId="2" fillId="0" borderId="0" xfId="0" applyNumberFormat="1" applyFont="1"/>
    <xf numFmtId="1" fontId="2" fillId="0" borderId="0" xfId="0" applyNumberFormat="1" applyFont="1"/>
    <xf numFmtId="1" fontId="5" fillId="0" borderId="1" xfId="0" applyNumberFormat="1" applyFont="1" applyBorder="1"/>
    <xf numFmtId="4" fontId="5" fillId="0" borderId="1" xfId="0" applyNumberFormat="1" applyFont="1" applyBorder="1"/>
    <xf numFmtId="0" fontId="2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" fillId="0" borderId="0" xfId="0" applyFont="1"/>
    <xf numFmtId="0" fontId="9" fillId="0" borderId="0" xfId="0" applyFont="1"/>
    <xf numFmtId="0" fontId="0" fillId="0" borderId="0" xfId="0" applyAlignment="1">
      <alignment horizontal="left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2">
    <dxf>
      <font>
        <condense val="0"/>
        <extend val="0"/>
        <color auto="1"/>
      </font>
    </dxf>
    <dxf>
      <font>
        <condense val="0"/>
        <extend val="0"/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48"/>
  <sheetViews>
    <sheetView tabSelected="1" topLeftCell="B1" zoomScaleNormal="100" workbookViewId="0"/>
  </sheetViews>
  <sheetFormatPr defaultColWidth="9.08984375" defaultRowHeight="10" x14ac:dyDescent="0.2"/>
  <cols>
    <col min="1" max="1" width="0" style="1" hidden="1" bestFit="1" customWidth="1"/>
    <col min="2" max="2" width="0.36328125" style="1" customWidth="1"/>
    <col min="3" max="3" width="15" style="1" customWidth="1"/>
    <col min="4" max="4" width="34.26953125" style="1" customWidth="1"/>
    <col min="5" max="5" width="9.81640625" style="1" customWidth="1"/>
    <col min="6" max="7" width="14.1796875" style="1" customWidth="1"/>
    <col min="8" max="11" width="15.7265625" style="1" customWidth="1"/>
    <col min="12" max="13" width="14.1796875" style="1" customWidth="1"/>
    <col min="14" max="14" width="0" style="1" hidden="1" customWidth="1"/>
    <col min="15" max="16384" width="9.08984375" style="1"/>
  </cols>
  <sheetData>
    <row r="1" spans="1:14" ht="20" x14ac:dyDescent="0.2">
      <c r="A1" s="5"/>
      <c r="B1" s="22" t="s">
        <v>126</v>
      </c>
      <c r="C1" s="4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4" ht="18" x14ac:dyDescent="0.2">
      <c r="A2" s="5"/>
      <c r="B2" s="23" t="s">
        <v>103</v>
      </c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5.15" customHeight="1" x14ac:dyDescent="0.2">
      <c r="A3" s="5"/>
      <c r="B3" s="4"/>
      <c r="C3" s="4"/>
      <c r="D3" s="5"/>
      <c r="E3" s="5"/>
      <c r="F3" s="5"/>
      <c r="G3" s="5"/>
      <c r="H3" s="5"/>
    </row>
    <row r="4" spans="1:14" ht="11.25" customHeight="1" x14ac:dyDescent="0.2">
      <c r="A4" s="5"/>
      <c r="B4" s="12" t="s">
        <v>127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4" ht="0" hidden="1" customHeight="1" x14ac:dyDescent="0.2">
      <c r="A5" s="5"/>
      <c r="B5" s="6" t="s">
        <v>128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20"/>
    </row>
    <row r="6" spans="1:14" ht="0" hidden="1" customHeight="1" x14ac:dyDescent="0.2">
      <c r="A6" s="5"/>
      <c r="B6" s="31" t="s">
        <v>129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20"/>
    </row>
    <row r="7" spans="1:14" ht="0" hidden="1" customHeight="1" x14ac:dyDescent="0.2">
      <c r="A7" s="5"/>
      <c r="B7" s="31" t="s">
        <v>130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</row>
    <row r="8" spans="1:14" ht="5.1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x14ac:dyDescent="0.2">
      <c r="B9" s="1" t="s">
        <v>131</v>
      </c>
    </row>
    <row r="10" spans="1:14" ht="24" customHeight="1" x14ac:dyDescent="0.2">
      <c r="B10" s="30" t="s">
        <v>105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</row>
    <row r="11" spans="1:14" x14ac:dyDescent="0.2">
      <c r="B11" s="3" t="s">
        <v>132</v>
      </c>
      <c r="M11" s="21"/>
    </row>
    <row r="12" spans="1:14" s="20" customFormat="1" ht="22.5" customHeight="1" x14ac:dyDescent="0.2">
      <c r="B12" s="27"/>
      <c r="C12" s="27" t="s">
        <v>43</v>
      </c>
      <c r="D12" s="27" t="s">
        <v>125</v>
      </c>
      <c r="E12" s="28" t="s">
        <v>133</v>
      </c>
      <c r="F12" s="28" t="s">
        <v>134</v>
      </c>
      <c r="G12" s="28" t="s">
        <v>135</v>
      </c>
      <c r="H12" s="28" t="s">
        <v>111</v>
      </c>
      <c r="I12" s="28" t="s">
        <v>110</v>
      </c>
      <c r="J12" s="28" t="s">
        <v>113</v>
      </c>
      <c r="K12" s="28" t="s">
        <v>115</v>
      </c>
      <c r="L12" s="28" t="s">
        <v>136</v>
      </c>
      <c r="M12" s="28" t="s">
        <v>137</v>
      </c>
    </row>
    <row r="13" spans="1:14" x14ac:dyDescent="0.2">
      <c r="C13" s="1" t="s">
        <v>138</v>
      </c>
      <c r="D13" s="1" t="s">
        <v>139</v>
      </c>
      <c r="E13" s="10">
        <v>46023</v>
      </c>
      <c r="F13" s="17">
        <v>1</v>
      </c>
      <c r="G13" s="17">
        <v>0</v>
      </c>
      <c r="H13" s="16">
        <v>58500</v>
      </c>
      <c r="I13" s="16">
        <v>0</v>
      </c>
      <c r="J13" s="16">
        <v>16448.5</v>
      </c>
      <c r="K13" s="16">
        <v>0</v>
      </c>
      <c r="L13" s="16">
        <f t="shared" ref="L13:L27" si="0">IF($F13=0,0,$J13/$F13)</f>
        <v>16448.5</v>
      </c>
      <c r="M13" s="16">
        <f t="shared" ref="M13:M27" si="1">IF($G13=0,0,$K13/$G13)</f>
        <v>0</v>
      </c>
    </row>
    <row r="14" spans="1:14" x14ac:dyDescent="0.2">
      <c r="C14" s="1" t="s">
        <v>140</v>
      </c>
      <c r="D14" s="1" t="s">
        <v>141</v>
      </c>
      <c r="E14" s="10">
        <v>45962</v>
      </c>
      <c r="F14" s="17">
        <v>2</v>
      </c>
      <c r="G14" s="17">
        <v>0</v>
      </c>
      <c r="H14" s="16">
        <v>405814.57</v>
      </c>
      <c r="I14" s="16">
        <v>0</v>
      </c>
      <c r="J14" s="16">
        <v>133106.88</v>
      </c>
      <c r="K14" s="16">
        <v>0</v>
      </c>
      <c r="L14" s="16">
        <f t="shared" si="0"/>
        <v>66553.440000000002</v>
      </c>
      <c r="M14" s="16">
        <f t="shared" si="1"/>
        <v>0</v>
      </c>
    </row>
    <row r="15" spans="1:14" x14ac:dyDescent="0.2">
      <c r="C15" s="1" t="s">
        <v>142</v>
      </c>
      <c r="D15" s="1" t="s">
        <v>143</v>
      </c>
      <c r="E15" s="10">
        <v>46023</v>
      </c>
      <c r="F15" s="17">
        <v>1</v>
      </c>
      <c r="G15" s="17">
        <v>0</v>
      </c>
      <c r="H15" s="16">
        <v>152000</v>
      </c>
      <c r="I15" s="16">
        <v>0</v>
      </c>
      <c r="J15" s="16">
        <v>67791.5</v>
      </c>
      <c r="K15" s="16">
        <v>0</v>
      </c>
      <c r="L15" s="16">
        <f t="shared" si="0"/>
        <v>67791.5</v>
      </c>
      <c r="M15" s="16">
        <f t="shared" si="1"/>
        <v>0</v>
      </c>
    </row>
    <row r="16" spans="1:14" x14ac:dyDescent="0.2">
      <c r="C16" s="1" t="s">
        <v>144</v>
      </c>
      <c r="D16" s="1" t="s">
        <v>145</v>
      </c>
      <c r="E16" s="10">
        <v>46054</v>
      </c>
      <c r="F16" s="17">
        <v>0</v>
      </c>
      <c r="G16" s="17">
        <v>1</v>
      </c>
      <c r="H16" s="16">
        <v>0</v>
      </c>
      <c r="I16" s="16">
        <v>112812.75</v>
      </c>
      <c r="J16" s="16">
        <v>0</v>
      </c>
      <c r="K16" s="16">
        <v>112800</v>
      </c>
      <c r="L16" s="16">
        <f t="shared" si="0"/>
        <v>0</v>
      </c>
      <c r="M16" s="16">
        <f t="shared" si="1"/>
        <v>112800</v>
      </c>
    </row>
    <row r="17" spans="1:13" x14ac:dyDescent="0.2">
      <c r="C17" s="1" t="s">
        <v>146</v>
      </c>
      <c r="D17" s="1" t="s">
        <v>147</v>
      </c>
      <c r="E17" s="10">
        <v>46023</v>
      </c>
      <c r="F17" s="17">
        <v>1</v>
      </c>
      <c r="G17" s="17">
        <v>0</v>
      </c>
      <c r="H17" s="16">
        <v>732903.75</v>
      </c>
      <c r="I17" s="16">
        <v>0</v>
      </c>
      <c r="J17" s="16">
        <v>732110.5</v>
      </c>
      <c r="K17" s="16">
        <v>0</v>
      </c>
      <c r="L17" s="16">
        <f t="shared" si="0"/>
        <v>732110.5</v>
      </c>
      <c r="M17" s="16">
        <f t="shared" si="1"/>
        <v>0</v>
      </c>
    </row>
    <row r="18" spans="1:13" x14ac:dyDescent="0.2">
      <c r="C18" s="1" t="s">
        <v>148</v>
      </c>
      <c r="D18" s="1" t="s">
        <v>149</v>
      </c>
      <c r="E18" s="10">
        <v>46023</v>
      </c>
      <c r="F18" s="17">
        <v>1</v>
      </c>
      <c r="G18" s="17">
        <v>0</v>
      </c>
      <c r="H18" s="16">
        <v>98700</v>
      </c>
      <c r="I18" s="16">
        <v>0</v>
      </c>
      <c r="J18" s="16">
        <v>35749.29</v>
      </c>
      <c r="K18" s="16">
        <v>0</v>
      </c>
      <c r="L18" s="16">
        <f t="shared" si="0"/>
        <v>35749.29</v>
      </c>
      <c r="M18" s="16">
        <f t="shared" si="1"/>
        <v>0</v>
      </c>
    </row>
    <row r="19" spans="1:13" x14ac:dyDescent="0.2">
      <c r="C19" s="1" t="s">
        <v>150</v>
      </c>
      <c r="D19" s="1" t="s">
        <v>151</v>
      </c>
      <c r="E19" s="10">
        <v>45931</v>
      </c>
      <c r="F19" s="17">
        <v>1</v>
      </c>
      <c r="G19" s="17">
        <v>1</v>
      </c>
      <c r="H19" s="16">
        <v>26750</v>
      </c>
      <c r="I19" s="16">
        <v>2184</v>
      </c>
      <c r="J19" s="16">
        <v>9490.35</v>
      </c>
      <c r="K19" s="16">
        <v>0</v>
      </c>
      <c r="L19" s="16">
        <f t="shared" si="0"/>
        <v>9490.35</v>
      </c>
      <c r="M19" s="16">
        <f t="shared" si="1"/>
        <v>0</v>
      </c>
    </row>
    <row r="20" spans="1:13" x14ac:dyDescent="0.2">
      <c r="C20" s="1" t="s">
        <v>152</v>
      </c>
      <c r="D20" s="1" t="s">
        <v>153</v>
      </c>
      <c r="E20" s="10">
        <v>46054</v>
      </c>
      <c r="F20" s="17">
        <v>0</v>
      </c>
      <c r="G20" s="17">
        <v>1</v>
      </c>
      <c r="H20" s="16">
        <v>0</v>
      </c>
      <c r="I20" s="16">
        <v>10824</v>
      </c>
      <c r="J20" s="16">
        <v>0</v>
      </c>
      <c r="K20" s="16">
        <v>112.75</v>
      </c>
      <c r="L20" s="16">
        <f t="shared" si="0"/>
        <v>0</v>
      </c>
      <c r="M20" s="16">
        <f t="shared" si="1"/>
        <v>112.75</v>
      </c>
    </row>
    <row r="21" spans="1:13" x14ac:dyDescent="0.2">
      <c r="C21" s="1" t="s">
        <v>154</v>
      </c>
      <c r="D21" s="1" t="s">
        <v>155</v>
      </c>
      <c r="E21" s="10">
        <v>45931</v>
      </c>
      <c r="F21" s="17">
        <v>1</v>
      </c>
      <c r="G21" s="17">
        <v>0</v>
      </c>
      <c r="H21" s="16">
        <v>100800</v>
      </c>
      <c r="I21" s="16">
        <v>0</v>
      </c>
      <c r="J21" s="16">
        <v>31182.13</v>
      </c>
      <c r="K21" s="16">
        <v>0</v>
      </c>
      <c r="L21" s="16">
        <f t="shared" si="0"/>
        <v>31182.13</v>
      </c>
      <c r="M21" s="16">
        <f t="shared" si="1"/>
        <v>0</v>
      </c>
    </row>
    <row r="22" spans="1:13" x14ac:dyDescent="0.2">
      <c r="C22" s="1" t="s">
        <v>156</v>
      </c>
      <c r="D22" s="1" t="s">
        <v>157</v>
      </c>
      <c r="E22" s="10">
        <v>46054</v>
      </c>
      <c r="F22" s="17">
        <v>0</v>
      </c>
      <c r="G22" s="17">
        <v>1</v>
      </c>
      <c r="H22" s="16">
        <v>0</v>
      </c>
      <c r="I22" s="16">
        <v>801.6</v>
      </c>
      <c r="J22" s="16">
        <v>0</v>
      </c>
      <c r="K22" s="16">
        <v>0</v>
      </c>
      <c r="L22" s="16">
        <f t="shared" si="0"/>
        <v>0</v>
      </c>
      <c r="M22" s="16">
        <f t="shared" si="1"/>
        <v>0</v>
      </c>
    </row>
    <row r="23" spans="1:13" x14ac:dyDescent="0.2">
      <c r="C23" s="1" t="s">
        <v>158</v>
      </c>
      <c r="D23" s="1" t="s">
        <v>159</v>
      </c>
      <c r="E23" s="10">
        <v>46054</v>
      </c>
      <c r="F23" s="17">
        <v>0</v>
      </c>
      <c r="G23" s="17">
        <v>1</v>
      </c>
      <c r="H23" s="16">
        <v>0</v>
      </c>
      <c r="I23" s="16">
        <v>801.6</v>
      </c>
      <c r="J23" s="16">
        <v>0</v>
      </c>
      <c r="K23" s="16">
        <v>0</v>
      </c>
      <c r="L23" s="16">
        <f t="shared" si="0"/>
        <v>0</v>
      </c>
      <c r="M23" s="16">
        <f t="shared" si="1"/>
        <v>0</v>
      </c>
    </row>
    <row r="24" spans="1:13" x14ac:dyDescent="0.2">
      <c r="C24" s="1" t="s">
        <v>160</v>
      </c>
      <c r="D24" s="1" t="s">
        <v>161</v>
      </c>
      <c r="E24" s="10">
        <v>45962</v>
      </c>
      <c r="F24" s="17">
        <v>1</v>
      </c>
      <c r="G24" s="17">
        <v>0</v>
      </c>
      <c r="H24" s="16">
        <v>231000</v>
      </c>
      <c r="I24" s="16">
        <v>0</v>
      </c>
      <c r="J24" s="16">
        <v>33926.559999999998</v>
      </c>
      <c r="K24" s="16">
        <v>0</v>
      </c>
      <c r="L24" s="16">
        <f t="shared" si="0"/>
        <v>33926.559999999998</v>
      </c>
      <c r="M24" s="16">
        <f t="shared" si="1"/>
        <v>0</v>
      </c>
    </row>
    <row r="25" spans="1:13" x14ac:dyDescent="0.2">
      <c r="C25" s="1" t="s">
        <v>162</v>
      </c>
      <c r="D25" s="1" t="s">
        <v>163</v>
      </c>
      <c r="E25" s="10">
        <v>46023</v>
      </c>
      <c r="F25" s="17">
        <v>1</v>
      </c>
      <c r="G25" s="17">
        <v>0</v>
      </c>
      <c r="H25" s="16">
        <v>343169.67</v>
      </c>
      <c r="I25" s="16">
        <v>0</v>
      </c>
      <c r="J25" s="16">
        <v>15271.52</v>
      </c>
      <c r="K25" s="16">
        <v>0</v>
      </c>
      <c r="L25" s="16">
        <f t="shared" si="0"/>
        <v>15271.52</v>
      </c>
      <c r="M25" s="16">
        <f t="shared" si="1"/>
        <v>0</v>
      </c>
    </row>
    <row r="26" spans="1:13" x14ac:dyDescent="0.2">
      <c r="C26" s="1" t="s">
        <v>164</v>
      </c>
      <c r="D26" s="1" t="s">
        <v>165</v>
      </c>
      <c r="E26" s="10">
        <v>46023</v>
      </c>
      <c r="F26" s="17">
        <v>1</v>
      </c>
      <c r="G26" s="17">
        <v>0</v>
      </c>
      <c r="H26" s="16">
        <v>16510.8</v>
      </c>
      <c r="I26" s="16">
        <v>0</v>
      </c>
      <c r="J26" s="16">
        <v>4524.95</v>
      </c>
      <c r="K26" s="16">
        <v>0</v>
      </c>
      <c r="L26" s="16">
        <f t="shared" si="0"/>
        <v>4524.95</v>
      </c>
      <c r="M26" s="16">
        <f t="shared" si="1"/>
        <v>0</v>
      </c>
    </row>
    <row r="27" spans="1:13" ht="12.75" customHeight="1" thickBot="1" x14ac:dyDescent="0.3">
      <c r="D27" s="11" t="s">
        <v>87</v>
      </c>
      <c r="E27" s="11"/>
      <c r="F27" s="18">
        <f t="shared" ref="F27:K27" si="2">SUM(F13:F26)</f>
        <v>11</v>
      </c>
      <c r="G27" s="18">
        <f t="shared" si="2"/>
        <v>5</v>
      </c>
      <c r="H27" s="19">
        <f t="shared" si="2"/>
        <v>2166148.79</v>
      </c>
      <c r="I27" s="19">
        <f t="shared" si="2"/>
        <v>127423.95000000001</v>
      </c>
      <c r="J27" s="19">
        <f t="shared" si="2"/>
        <v>1079602.18</v>
      </c>
      <c r="K27" s="19">
        <f t="shared" si="2"/>
        <v>112912.75</v>
      </c>
      <c r="L27" s="19">
        <f t="shared" si="0"/>
        <v>98145.652727272725</v>
      </c>
      <c r="M27" s="19">
        <f t="shared" si="1"/>
        <v>22582.55</v>
      </c>
    </row>
    <row r="31" spans="1:13" ht="12.5" x14ac:dyDescent="0.2">
      <c r="A31" s="13"/>
    </row>
    <row r="32" spans="1:13" ht="12.5" x14ac:dyDescent="0.25">
      <c r="A32"/>
    </row>
    <row r="33" spans="1:1" ht="12.5" x14ac:dyDescent="0.25">
      <c r="A33"/>
    </row>
    <row r="34" spans="1:1" ht="12.5" x14ac:dyDescent="0.25">
      <c r="A34"/>
    </row>
    <row r="35" spans="1:1" ht="12.5" x14ac:dyDescent="0.25">
      <c r="A35"/>
    </row>
    <row r="36" spans="1:1" ht="12.5" x14ac:dyDescent="0.25">
      <c r="A36"/>
    </row>
    <row r="37" spans="1:1" ht="12.5" x14ac:dyDescent="0.25">
      <c r="A37"/>
    </row>
    <row r="38" spans="1:1" ht="12.5" x14ac:dyDescent="0.25">
      <c r="A38"/>
    </row>
    <row r="39" spans="1:1" ht="12.5" x14ac:dyDescent="0.25">
      <c r="A39"/>
    </row>
    <row r="40" spans="1:1" ht="12.5" x14ac:dyDescent="0.25">
      <c r="A40"/>
    </row>
    <row r="41" spans="1:1" ht="12.5" x14ac:dyDescent="0.25">
      <c r="A41"/>
    </row>
    <row r="42" spans="1:1" ht="12.5" x14ac:dyDescent="0.25">
      <c r="A42"/>
    </row>
    <row r="43" spans="1:1" ht="12.5" x14ac:dyDescent="0.25">
      <c r="A43" s="15"/>
    </row>
    <row r="44" spans="1:1" ht="12.5" x14ac:dyDescent="0.25">
      <c r="A44" s="15"/>
    </row>
    <row r="45" spans="1:1" ht="12.5" x14ac:dyDescent="0.25">
      <c r="A45"/>
    </row>
    <row r="46" spans="1:1" ht="12.5" x14ac:dyDescent="0.25">
      <c r="A46"/>
    </row>
    <row r="47" spans="1:1" ht="12.5" x14ac:dyDescent="0.25">
      <c r="A47"/>
    </row>
    <row r="48" spans="1:1" ht="12.5" x14ac:dyDescent="0.25">
      <c r="A48"/>
    </row>
  </sheetData>
  <mergeCells count="3">
    <mergeCell ref="B10:M10"/>
    <mergeCell ref="B6:M6"/>
    <mergeCell ref="B7:M7"/>
  </mergeCells>
  <conditionalFormatting sqref="F13:M27">
    <cfRule type="expression" dxfId="1" priority="1" stopIfTrue="1">
      <formula>EXACT(#REF!,"ACR")</formula>
    </cfRule>
    <cfRule type="expression" dxfId="0" priority="2" stopIfTrue="1">
      <formula>EXACT(#REF!,"WIP")</formula>
    </cfRule>
  </conditionalFormatting>
  <pageMargins left="0.39370078740157499" right="0.39370078740157499" top="0.39370078740157499" bottom="0.39370078740157499" header="0.39370078740157499" footer="0.196850393700787"/>
  <pageSetup paperSize="9" scale="29" fitToHeight="0" pageOrder="overThenDown" orientation="landscape" verticalDpi="200" r:id="rId1"/>
  <headerFooter alignWithMargins="0">
    <oddHeader>&amp;R&amp;8&amp;P / &amp;N</oddHeader>
    <oddFooter>&amp;R&amp;G</oddFooter>
  </headerFooter>
  <rowBreaks count="1" manualBreakCount="1">
    <brk id="2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A10" sqref="A10"/>
    </sheetView>
  </sheetViews>
  <sheetFormatPr defaultColWidth="9.1796875" defaultRowHeight="12.5" x14ac:dyDescent="0.25"/>
  <sheetData>
    <row r="1" spans="1:2" x14ac:dyDescent="0.25">
      <c r="A1" t="s">
        <v>123</v>
      </c>
      <c r="B1" t="s">
        <v>82</v>
      </c>
    </row>
    <row r="2" spans="1:2" ht="14.25" customHeight="1" x14ac:dyDescent="0.25">
      <c r="A2" t="s">
        <v>108</v>
      </c>
      <c r="B2" t="s">
        <v>106</v>
      </c>
    </row>
    <row r="3" spans="1:2" ht="14.25" customHeight="1" x14ac:dyDescent="0.25">
      <c r="A3" t="s">
        <v>107</v>
      </c>
      <c r="B3" t="s">
        <v>117</v>
      </c>
    </row>
    <row r="4" spans="1:2" ht="14.25" customHeight="1" x14ac:dyDescent="0.25">
      <c r="A4" t="s">
        <v>111</v>
      </c>
      <c r="B4" t="s">
        <v>109</v>
      </c>
    </row>
    <row r="5" spans="1:2" ht="14.25" customHeight="1" x14ac:dyDescent="0.25">
      <c r="A5" t="s">
        <v>110</v>
      </c>
      <c r="B5" t="s">
        <v>112</v>
      </c>
    </row>
    <row r="6" spans="1:2" ht="14.25" customHeight="1" x14ac:dyDescent="0.25">
      <c r="A6" t="s">
        <v>113</v>
      </c>
      <c r="B6" t="s">
        <v>114</v>
      </c>
    </row>
    <row r="7" spans="1:2" ht="14.25" customHeight="1" x14ac:dyDescent="0.25">
      <c r="A7" t="s">
        <v>115</v>
      </c>
      <c r="B7" t="s">
        <v>116</v>
      </c>
    </row>
    <row r="8" spans="1:2" x14ac:dyDescent="0.25">
      <c r="A8" t="s">
        <v>12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K88"/>
  <sheetViews>
    <sheetView workbookViewId="0">
      <selection activeCell="B83" sqref="B83"/>
    </sheetView>
  </sheetViews>
  <sheetFormatPr defaultColWidth="9.1796875" defaultRowHeight="12.5" x14ac:dyDescent="0.25"/>
  <cols>
    <col min="1" max="1" width="27.7265625" customWidth="1"/>
    <col min="2" max="2" width="9.7265625" customWidth="1"/>
    <col min="3" max="3" width="42.08984375" bestFit="1" customWidth="1"/>
    <col min="4" max="4" width="53.08984375" bestFit="1" customWidth="1"/>
    <col min="5" max="6" width="10.7265625" customWidth="1"/>
  </cols>
  <sheetData>
    <row r="1" spans="1:4" x14ac:dyDescent="0.25">
      <c r="A1" t="s">
        <v>9</v>
      </c>
      <c r="B1" t="s">
        <v>20</v>
      </c>
      <c r="C1" t="s">
        <v>14</v>
      </c>
    </row>
    <row r="2" spans="1:4" x14ac:dyDescent="0.25">
      <c r="B2" t="s">
        <v>15</v>
      </c>
      <c r="C2" t="s">
        <v>16</v>
      </c>
    </row>
    <row r="3" spans="1:4" x14ac:dyDescent="0.25">
      <c r="B3" t="s">
        <v>71</v>
      </c>
      <c r="C3" t="s">
        <v>86</v>
      </c>
    </row>
    <row r="4" spans="1:4" x14ac:dyDescent="0.25">
      <c r="B4" t="s">
        <v>17</v>
      </c>
      <c r="C4" t="s">
        <v>86</v>
      </c>
      <c r="D4" t="s">
        <v>118</v>
      </c>
    </row>
    <row r="5" spans="1:4" x14ac:dyDescent="0.25">
      <c r="C5" t="s">
        <v>10</v>
      </c>
      <c r="D5" t="s">
        <v>95</v>
      </c>
    </row>
    <row r="6" spans="1:4" x14ac:dyDescent="0.25">
      <c r="C6" t="s">
        <v>11</v>
      </c>
      <c r="D6" t="s">
        <v>96</v>
      </c>
    </row>
    <row r="7" spans="1:4" x14ac:dyDescent="0.25">
      <c r="C7" t="s">
        <v>50</v>
      </c>
      <c r="D7" t="s">
        <v>119</v>
      </c>
    </row>
    <row r="8" spans="1:4" x14ac:dyDescent="0.25">
      <c r="C8" t="s">
        <v>47</v>
      </c>
      <c r="D8" t="s">
        <v>97</v>
      </c>
    </row>
    <row r="9" spans="1:4" x14ac:dyDescent="0.25">
      <c r="C9" t="s">
        <v>18</v>
      </c>
      <c r="D9" t="s">
        <v>98</v>
      </c>
    </row>
    <row r="10" spans="1:4" x14ac:dyDescent="0.25">
      <c r="C10" t="s">
        <v>52</v>
      </c>
      <c r="D10" t="s">
        <v>99</v>
      </c>
    </row>
    <row r="11" spans="1:4" x14ac:dyDescent="0.25">
      <c r="C11" t="s">
        <v>48</v>
      </c>
      <c r="D11" t="s">
        <v>100</v>
      </c>
    </row>
    <row r="12" spans="1:4" x14ac:dyDescent="0.25">
      <c r="C12" t="s">
        <v>49</v>
      </c>
      <c r="D12" t="s">
        <v>101</v>
      </c>
    </row>
    <row r="13" spans="1:4" x14ac:dyDescent="0.25">
      <c r="C13" t="s">
        <v>51</v>
      </c>
      <c r="D13" t="s">
        <v>102</v>
      </c>
    </row>
    <row r="14" spans="1:4" x14ac:dyDescent="0.25">
      <c r="A14" t="s">
        <v>84</v>
      </c>
      <c r="B14" t="s">
        <v>13</v>
      </c>
      <c r="C14" t="s">
        <v>14</v>
      </c>
    </row>
    <row r="15" spans="1:4" x14ac:dyDescent="0.25">
      <c r="B15" t="s">
        <v>15</v>
      </c>
      <c r="C15" t="s">
        <v>16</v>
      </c>
    </row>
    <row r="16" spans="1:4" x14ac:dyDescent="0.25">
      <c r="B16" t="s">
        <v>71</v>
      </c>
      <c r="C16" t="s">
        <v>76</v>
      </c>
    </row>
    <row r="17" spans="1:4" x14ac:dyDescent="0.25">
      <c r="B17" t="s">
        <v>17</v>
      </c>
      <c r="C17" t="s">
        <v>76</v>
      </c>
      <c r="D17" t="s">
        <v>120</v>
      </c>
    </row>
    <row r="18" spans="1:4" x14ac:dyDescent="0.25">
      <c r="C18" t="s">
        <v>70</v>
      </c>
      <c r="D18" t="s">
        <v>121</v>
      </c>
    </row>
    <row r="19" spans="1:4" x14ac:dyDescent="0.25">
      <c r="A19" s="13" t="s">
        <v>72</v>
      </c>
      <c r="B19" t="s">
        <v>13</v>
      </c>
      <c r="C19" t="s">
        <v>31</v>
      </c>
    </row>
    <row r="20" spans="1:4" x14ac:dyDescent="0.25">
      <c r="A20" s="13"/>
      <c r="B20" t="s">
        <v>32</v>
      </c>
      <c r="C20" t="s">
        <v>33</v>
      </c>
      <c r="D20" s="13" t="s">
        <v>122</v>
      </c>
    </row>
    <row r="21" spans="1:4" x14ac:dyDescent="0.25">
      <c r="A21" t="s">
        <v>85</v>
      </c>
      <c r="B21" t="s">
        <v>20</v>
      </c>
      <c r="C21" s="14" t="s">
        <v>14</v>
      </c>
      <c r="D21" s="14"/>
    </row>
    <row r="22" spans="1:4" x14ac:dyDescent="0.25">
      <c r="B22" t="s">
        <v>77</v>
      </c>
      <c r="C22" s="14"/>
      <c r="D22" s="14"/>
    </row>
    <row r="23" spans="1:4" x14ac:dyDescent="0.25">
      <c r="B23" t="s">
        <v>79</v>
      </c>
      <c r="C23" s="14" t="s">
        <v>78</v>
      </c>
      <c r="D23" s="14"/>
    </row>
    <row r="24" spans="1:4" x14ac:dyDescent="0.25">
      <c r="B24" t="s">
        <v>17</v>
      </c>
      <c r="C24" s="14" t="s">
        <v>78</v>
      </c>
      <c r="D24" s="14" t="s">
        <v>83</v>
      </c>
    </row>
    <row r="25" spans="1:4" x14ac:dyDescent="0.25">
      <c r="C25" s="14" t="s">
        <v>8</v>
      </c>
      <c r="D25" s="14" t="s">
        <v>91</v>
      </c>
    </row>
    <row r="26" spans="1:4" x14ac:dyDescent="0.25">
      <c r="A26" t="s">
        <v>44</v>
      </c>
      <c r="B26" t="s">
        <v>13</v>
      </c>
      <c r="C26" t="s">
        <v>19</v>
      </c>
      <c r="D26" s="14"/>
    </row>
    <row r="27" spans="1:4" x14ac:dyDescent="0.25">
      <c r="B27" t="s">
        <v>77</v>
      </c>
    </row>
    <row r="28" spans="1:4" x14ac:dyDescent="0.25">
      <c r="A28" t="s">
        <v>45</v>
      </c>
      <c r="B28" t="s">
        <v>13</v>
      </c>
      <c r="C28" t="s">
        <v>19</v>
      </c>
    </row>
    <row r="29" spans="1:4" x14ac:dyDescent="0.25">
      <c r="B29" t="s">
        <v>77</v>
      </c>
    </row>
    <row r="30" spans="1:4" x14ac:dyDescent="0.25">
      <c r="A30" t="s">
        <v>24</v>
      </c>
      <c r="B30" t="s">
        <v>13</v>
      </c>
      <c r="C30" t="s">
        <v>5</v>
      </c>
    </row>
    <row r="31" spans="1:4" x14ac:dyDescent="0.25">
      <c r="B31" t="s">
        <v>124</v>
      </c>
      <c r="C31" s="29">
        <v>20</v>
      </c>
    </row>
    <row r="32" spans="1:4" x14ac:dyDescent="0.25">
      <c r="A32" t="s">
        <v>25</v>
      </c>
      <c r="B32" t="s">
        <v>13</v>
      </c>
      <c r="C32" t="s">
        <v>5</v>
      </c>
    </row>
    <row r="33" spans="1:4" x14ac:dyDescent="0.25">
      <c r="B33" t="s">
        <v>124</v>
      </c>
      <c r="C33" s="26">
        <v>20</v>
      </c>
    </row>
    <row r="35" spans="1:4" x14ac:dyDescent="0.25">
      <c r="A35" t="s">
        <v>40</v>
      </c>
      <c r="B35" t="s">
        <v>13</v>
      </c>
      <c r="C35" t="s">
        <v>14</v>
      </c>
    </row>
    <row r="36" spans="1:4" x14ac:dyDescent="0.25">
      <c r="B36" t="s">
        <v>15</v>
      </c>
      <c r="C36" t="s">
        <v>16</v>
      </c>
    </row>
    <row r="37" spans="1:4" x14ac:dyDescent="0.25">
      <c r="B37" t="s">
        <v>17</v>
      </c>
      <c r="C37" t="s">
        <v>54</v>
      </c>
      <c r="D37" t="s">
        <v>58</v>
      </c>
    </row>
    <row r="38" spans="1:4" x14ac:dyDescent="0.25">
      <c r="C38" t="s">
        <v>53</v>
      </c>
      <c r="D38" t="s">
        <v>59</v>
      </c>
    </row>
    <row r="39" spans="1:4" x14ac:dyDescent="0.25">
      <c r="C39" t="s">
        <v>60</v>
      </c>
      <c r="D39" t="s">
        <v>61</v>
      </c>
    </row>
    <row r="40" spans="1:4" x14ac:dyDescent="0.25">
      <c r="C40" t="s">
        <v>62</v>
      </c>
      <c r="D40" t="s">
        <v>63</v>
      </c>
    </row>
    <row r="41" spans="1:4" x14ac:dyDescent="0.25">
      <c r="C41" t="s">
        <v>64</v>
      </c>
      <c r="D41" t="s">
        <v>65</v>
      </c>
    </row>
    <row r="42" spans="1:4" x14ac:dyDescent="0.25">
      <c r="C42" t="s">
        <v>55</v>
      </c>
      <c r="D42" t="s">
        <v>66</v>
      </c>
    </row>
    <row r="43" spans="1:4" x14ac:dyDescent="0.25">
      <c r="C43" t="s">
        <v>67</v>
      </c>
      <c r="D43" t="s">
        <v>68</v>
      </c>
    </row>
    <row r="44" spans="1:4" x14ac:dyDescent="0.25">
      <c r="B44" t="s">
        <v>38</v>
      </c>
      <c r="C44" t="s">
        <v>56</v>
      </c>
      <c r="D44" t="s">
        <v>4</v>
      </c>
    </row>
    <row r="45" spans="1:4" x14ac:dyDescent="0.25">
      <c r="A45" t="s">
        <v>73</v>
      </c>
      <c r="B45" t="s">
        <v>13</v>
      </c>
      <c r="C45" t="s">
        <v>14</v>
      </c>
    </row>
    <row r="46" spans="1:4" x14ac:dyDescent="0.25">
      <c r="B46" t="s">
        <v>15</v>
      </c>
      <c r="C46" t="s">
        <v>16</v>
      </c>
    </row>
    <row r="47" spans="1:4" x14ac:dyDescent="0.25">
      <c r="B47" t="s">
        <v>17</v>
      </c>
      <c r="C47" t="s">
        <v>74</v>
      </c>
      <c r="D47" t="s">
        <v>41</v>
      </c>
    </row>
    <row r="48" spans="1:4" x14ac:dyDescent="0.25">
      <c r="C48" t="s">
        <v>75</v>
      </c>
      <c r="D48" t="s">
        <v>42</v>
      </c>
    </row>
    <row r="49" spans="1:4" x14ac:dyDescent="0.25">
      <c r="C49" t="s">
        <v>69</v>
      </c>
      <c r="D49" t="s">
        <v>92</v>
      </c>
    </row>
    <row r="50" spans="1:4" x14ac:dyDescent="0.25">
      <c r="B50" t="s">
        <v>38</v>
      </c>
      <c r="C50" t="s">
        <v>56</v>
      </c>
      <c r="D50" t="s">
        <v>4</v>
      </c>
    </row>
    <row r="51" spans="1:4" x14ac:dyDescent="0.25">
      <c r="A51" t="s">
        <v>36</v>
      </c>
      <c r="B51" t="s">
        <v>13</v>
      </c>
      <c r="C51" t="s">
        <v>14</v>
      </c>
    </row>
    <row r="52" spans="1:4" x14ac:dyDescent="0.25">
      <c r="B52" t="s">
        <v>15</v>
      </c>
      <c r="C52" t="s">
        <v>16</v>
      </c>
    </row>
    <row r="53" spans="1:4" x14ac:dyDescent="0.25">
      <c r="B53" t="s">
        <v>17</v>
      </c>
      <c r="C53" t="s">
        <v>35</v>
      </c>
      <c r="D53" t="s">
        <v>93</v>
      </c>
    </row>
    <row r="54" spans="1:4" x14ac:dyDescent="0.25">
      <c r="C54" t="s">
        <v>2</v>
      </c>
      <c r="D54" t="s">
        <v>94</v>
      </c>
    </row>
    <row r="55" spans="1:4" x14ac:dyDescent="0.25">
      <c r="C55" t="s">
        <v>30</v>
      </c>
      <c r="D55" t="s">
        <v>3</v>
      </c>
    </row>
    <row r="56" spans="1:4" x14ac:dyDescent="0.25">
      <c r="B56" t="s">
        <v>38</v>
      </c>
      <c r="C56" t="s">
        <v>56</v>
      </c>
      <c r="D56" t="s">
        <v>4</v>
      </c>
    </row>
    <row r="59" spans="1:4" x14ac:dyDescent="0.25">
      <c r="A59" t="s">
        <v>21</v>
      </c>
      <c r="B59" t="s">
        <v>13</v>
      </c>
      <c r="C59" t="s">
        <v>22</v>
      </c>
    </row>
    <row r="60" spans="1:4" x14ac:dyDescent="0.25">
      <c r="B60" t="s">
        <v>38</v>
      </c>
      <c r="C60" t="s">
        <v>37</v>
      </c>
      <c r="D60" t="s">
        <v>34</v>
      </c>
    </row>
    <row r="61" spans="1:4" x14ac:dyDescent="0.25">
      <c r="B61" t="s">
        <v>124</v>
      </c>
      <c r="C61" s="26">
        <v>20</v>
      </c>
    </row>
    <row r="62" spans="1:4" x14ac:dyDescent="0.25">
      <c r="A62" t="s">
        <v>80</v>
      </c>
      <c r="B62" t="s">
        <v>13</v>
      </c>
      <c r="C62" t="s">
        <v>23</v>
      </c>
    </row>
    <row r="63" spans="1:4" x14ac:dyDescent="0.25">
      <c r="B63" t="s">
        <v>38</v>
      </c>
      <c r="C63" t="s">
        <v>37</v>
      </c>
      <c r="D63" t="s">
        <v>34</v>
      </c>
    </row>
    <row r="64" spans="1:4" x14ac:dyDescent="0.25">
      <c r="B64" t="s">
        <v>124</v>
      </c>
      <c r="C64" s="26">
        <v>20</v>
      </c>
    </row>
    <row r="65" spans="1:4" x14ac:dyDescent="0.25">
      <c r="A65" t="s">
        <v>57</v>
      </c>
      <c r="B65" t="s">
        <v>20</v>
      </c>
      <c r="C65" t="s">
        <v>29</v>
      </c>
    </row>
    <row r="66" spans="1:4" x14ac:dyDescent="0.25">
      <c r="B66" t="s">
        <v>38</v>
      </c>
      <c r="C66" t="s">
        <v>37</v>
      </c>
      <c r="D66" t="s">
        <v>34</v>
      </c>
    </row>
    <row r="67" spans="1:4" x14ac:dyDescent="0.25">
      <c r="B67" t="s">
        <v>124</v>
      </c>
      <c r="C67" s="26">
        <v>20</v>
      </c>
    </row>
    <row r="68" spans="1:4" x14ac:dyDescent="0.25">
      <c r="A68" t="s">
        <v>26</v>
      </c>
      <c r="B68" t="s">
        <v>20</v>
      </c>
      <c r="C68" t="s">
        <v>27</v>
      </c>
    </row>
    <row r="69" spans="1:4" x14ac:dyDescent="0.25">
      <c r="B69" t="s">
        <v>38</v>
      </c>
      <c r="C69" t="s">
        <v>37</v>
      </c>
      <c r="D69" t="s">
        <v>34</v>
      </c>
    </row>
    <row r="70" spans="1:4" x14ac:dyDescent="0.25">
      <c r="B70" t="s">
        <v>124</v>
      </c>
      <c r="C70" s="26">
        <v>20</v>
      </c>
    </row>
    <row r="71" spans="1:4" x14ac:dyDescent="0.25">
      <c r="A71" t="s">
        <v>39</v>
      </c>
      <c r="B71" t="s">
        <v>20</v>
      </c>
      <c r="C71" t="s">
        <v>28</v>
      </c>
    </row>
    <row r="72" spans="1:4" x14ac:dyDescent="0.25">
      <c r="B72" t="s">
        <v>38</v>
      </c>
      <c r="C72" t="s">
        <v>37</v>
      </c>
      <c r="D72" t="s">
        <v>34</v>
      </c>
    </row>
    <row r="73" spans="1:4" x14ac:dyDescent="0.25">
      <c r="B73" t="s">
        <v>124</v>
      </c>
      <c r="C73" s="26">
        <v>20</v>
      </c>
    </row>
    <row r="75" spans="1:4" x14ac:dyDescent="0.25">
      <c r="A75" s="15" t="s">
        <v>46</v>
      </c>
      <c r="B75" t="s">
        <v>20</v>
      </c>
      <c r="C75" t="s">
        <v>5</v>
      </c>
    </row>
    <row r="76" spans="1:4" x14ac:dyDescent="0.25">
      <c r="A76" s="15"/>
      <c r="B76" t="s">
        <v>38</v>
      </c>
      <c r="C76" t="s">
        <v>6</v>
      </c>
      <c r="D76" t="s">
        <v>7</v>
      </c>
    </row>
    <row r="77" spans="1:4" x14ac:dyDescent="0.25">
      <c r="A77" s="15"/>
      <c r="B77" t="s">
        <v>124</v>
      </c>
      <c r="C77" s="26">
        <v>60</v>
      </c>
    </row>
    <row r="78" spans="1:4" x14ac:dyDescent="0.25">
      <c r="A78" s="15" t="s">
        <v>81</v>
      </c>
      <c r="B78" t="s">
        <v>20</v>
      </c>
      <c r="C78" t="s">
        <v>23</v>
      </c>
    </row>
    <row r="79" spans="1:4" x14ac:dyDescent="0.25">
      <c r="B79" t="s">
        <v>38</v>
      </c>
      <c r="C79" t="s">
        <v>6</v>
      </c>
      <c r="D79" t="s">
        <v>7</v>
      </c>
    </row>
    <row r="80" spans="1:4" x14ac:dyDescent="0.25">
      <c r="B80" t="s">
        <v>124</v>
      </c>
      <c r="C80" s="26">
        <v>60</v>
      </c>
    </row>
    <row r="81" spans="1:11" x14ac:dyDescent="0.25">
      <c r="A81" s="13" t="s">
        <v>104</v>
      </c>
      <c r="B81" t="s">
        <v>13</v>
      </c>
      <c r="C81" t="s">
        <v>19</v>
      </c>
      <c r="G81" s="24"/>
      <c r="H81" s="24"/>
      <c r="I81" s="24"/>
      <c r="J81" s="24"/>
      <c r="K81" s="24"/>
    </row>
    <row r="82" spans="1:11" x14ac:dyDescent="0.25">
      <c r="A82" s="13"/>
      <c r="B82" s="25" t="s">
        <v>0</v>
      </c>
      <c r="G82" s="24"/>
      <c r="H82" s="24"/>
      <c r="I82" s="24"/>
      <c r="J82" s="24"/>
      <c r="K82" s="24"/>
    </row>
    <row r="83" spans="1:11" x14ac:dyDescent="0.25">
      <c r="A83" s="13"/>
      <c r="B83" t="s">
        <v>1</v>
      </c>
      <c r="G83" s="24"/>
      <c r="H83" s="24"/>
      <c r="I83" s="24"/>
      <c r="J83" s="24"/>
      <c r="K83" s="24"/>
    </row>
    <row r="84" spans="1:11" x14ac:dyDescent="0.25">
      <c r="A84" t="s">
        <v>12</v>
      </c>
      <c r="D84" s="1"/>
      <c r="E84" s="1"/>
      <c r="F84" s="2"/>
    </row>
    <row r="85" spans="1:11" x14ac:dyDescent="0.25">
      <c r="D85" s="1"/>
      <c r="E85" s="1"/>
      <c r="F85" s="2"/>
    </row>
    <row r="86" spans="1:11" x14ac:dyDescent="0.25">
      <c r="A86" s="1"/>
      <c r="B86" s="1"/>
      <c r="C86" s="1"/>
      <c r="D86" s="8"/>
      <c r="E86" s="9"/>
    </row>
    <row r="87" spans="1:11" x14ac:dyDescent="0.25">
      <c r="A87" s="1"/>
      <c r="B87" s="1"/>
      <c r="C87" s="1"/>
    </row>
    <row r="88" spans="1:11" x14ac:dyDescent="0.25">
      <c r="A88" s="1"/>
      <c r="B88" s="7"/>
      <c r="C88" s="1"/>
    </row>
  </sheetData>
  <pageMargins left="0.39370078740157499" right="0.39370078740157499" top="0.39370078740157499" bottom="0.39370078740157499" header="0.511811023622047" footer="0.196850393700787"/>
  <pageSetup paperSize="9" pageOrder="overThenDown" orientation="landscape" horizontalDpi="300" verticalDpi="300" r:id="rId1"/>
  <headerFooter alignWithMargins="0">
    <oddFooter>&amp;LPage &amp;P of &amp;N&amp;R&amp;G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C9" sqref="C9"/>
    </sheetView>
  </sheetViews>
  <sheetFormatPr defaultColWidth="9.1796875" defaultRowHeight="12.5" x14ac:dyDescent="0.25"/>
  <cols>
    <col min="1" max="1" width="30.26953125" customWidth="1"/>
  </cols>
  <sheetData>
    <row r="1" spans="1:2" x14ac:dyDescent="0.25">
      <c r="A1" t="s">
        <v>123</v>
      </c>
      <c r="B1" t="s">
        <v>90</v>
      </c>
    </row>
    <row r="2" spans="1:2" x14ac:dyDescent="0.25">
      <c r="A2" t="s">
        <v>89</v>
      </c>
      <c r="B2" t="s">
        <v>88</v>
      </c>
    </row>
    <row r="3" spans="1:2" x14ac:dyDescent="0.25">
      <c r="A3" t="s">
        <v>12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Job Analysis by Client</vt:lpstr>
      <vt:lpstr>'Job Analysis by Client'!Print_Titles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Saby</dc:creator>
  <cp:lastModifiedBy>Sebastian Daniel</cp:lastModifiedBy>
  <dcterms:created xsi:type="dcterms:W3CDTF">2026-02-06T04:59:41Z</dcterms:created>
  <dcterms:modified xsi:type="dcterms:W3CDTF">2026-02-06T05:00:40Z</dcterms:modified>
</cp:coreProperties>
</file>