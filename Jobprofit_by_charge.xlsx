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ipmax\Develop\"/>
    </mc:Choice>
  </mc:AlternateContent>
  <xr:revisionPtr revIDLastSave="0" documentId="8_{D57D463D-DA75-42E6-94F6-3CF88BA72B30}" xr6:coauthVersionLast="47" xr6:coauthVersionMax="47" xr10:uidLastSave="{00000000-0000-0000-0000-000000000000}"/>
  <bookViews>
    <workbookView xWindow="-110" yWindow="-110" windowWidth="19420" windowHeight="11500" tabRatio="725" xr2:uid="{00000000-000D-0000-FFFF-FFFF00000000}"/>
  </bookViews>
  <sheets>
    <sheet name="Job Profit Charge Code Summary" sheetId="3" r:id="rId1"/>
    <sheet name="Filter" sheetId="5" state="veryHidden" r:id="rId2"/>
    <sheet name="Sort" sheetId="6" state="veryHidden" r:id="rId3"/>
  </sheets>
  <definedNames>
    <definedName name="_xlnm.Print_Titles" localSheetId="0">'Job Profit Charge Code Summary'!$1:$15</definedName>
    <definedName name="ShipmentHeadings">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I22" i="3"/>
  <c r="H22" i="3"/>
  <c r="G22" i="3"/>
  <c r="F22" i="3"/>
  <c r="B11" i="3"/>
  <c r="B10" i="3"/>
  <c r="B9" i="3"/>
  <c r="B8" i="3"/>
  <c r="B7" i="3"/>
</calcChain>
</file>

<file path=xl/sharedStrings.xml><?xml version="1.0" encoding="utf-8"?>
<sst xmlns="http://schemas.openxmlformats.org/spreadsheetml/2006/main" count="235" uniqueCount="130">
  <si>
    <t>Type</t>
  </si>
  <si>
    <t>Field</t>
  </si>
  <si>
    <t>ETA</t>
  </si>
  <si>
    <t>ETD</t>
  </si>
  <si>
    <t>Job Status</t>
  </si>
  <si>
    <t>#End</t>
  </si>
  <si>
    <t>Single accounting period</t>
  </si>
  <si>
    <t>Required</t>
  </si>
  <si>
    <t>type</t>
  </si>
  <si>
    <t>date range</t>
  </si>
  <si>
    <t>Branch Multiple Selection Lookup</t>
  </si>
  <si>
    <t>Department Multiple Selection Lookup</t>
  </si>
  <si>
    <t>Period From</t>
  </si>
  <si>
    <t>Period To</t>
  </si>
  <si>
    <t>Transaction Branches</t>
  </si>
  <si>
    <t>Transaction Departments</t>
  </si>
  <si>
    <t>Charge Groups</t>
  </si>
  <si>
    <t>MultipleChoice</t>
  </si>
  <si>
    <t>Style</t>
  </si>
  <si>
    <t>DropDown</t>
  </si>
  <si>
    <t>Option</t>
  </si>
  <si>
    <t>AIR</t>
  </si>
  <si>
    <t>Air Freight</t>
  </si>
  <si>
    <t>SEA</t>
  </si>
  <si>
    <t>Sea Freight</t>
  </si>
  <si>
    <t>FSA</t>
  </si>
  <si>
    <t>First by Sea then by Air Freight</t>
  </si>
  <si>
    <t>FAS</t>
  </si>
  <si>
    <t>First by Air then by Sea Freight</t>
  </si>
  <si>
    <t>ROA</t>
  </si>
  <si>
    <t>Road Freight</t>
  </si>
  <si>
    <t>RAI</t>
  </si>
  <si>
    <t>Rail Freight</t>
  </si>
  <si>
    <t>COU</t>
  </si>
  <si>
    <t>Courier</t>
  </si>
  <si>
    <t>LCL</t>
  </si>
  <si>
    <t>Less Container Load</t>
  </si>
  <si>
    <t>FCL</t>
  </si>
  <si>
    <t>Full Container Load</t>
  </si>
  <si>
    <t>GRP</t>
  </si>
  <si>
    <t>Groupage / Freight All Kinds</t>
  </si>
  <si>
    <t>BCN</t>
  </si>
  <si>
    <t>Buyer's Consol</t>
  </si>
  <si>
    <t>LSE</t>
  </si>
  <si>
    <t>Loose</t>
  </si>
  <si>
    <t>ULD</t>
  </si>
  <si>
    <t>Unit Load Device</t>
  </si>
  <si>
    <t>BBK</t>
  </si>
  <si>
    <t>Break Bulk</t>
  </si>
  <si>
    <t>BLK</t>
  </si>
  <si>
    <t>Bulk</t>
  </si>
  <si>
    <t>CON</t>
  </si>
  <si>
    <t>Agent Consol</t>
  </si>
  <si>
    <t>LTL</t>
  </si>
  <si>
    <t>Less Truck Load</t>
  </si>
  <si>
    <t>FTL</t>
  </si>
  <si>
    <t>Full Truck Load</t>
  </si>
  <si>
    <t>OBC</t>
  </si>
  <si>
    <t>On Board Carrier</t>
  </si>
  <si>
    <t>UNA</t>
  </si>
  <si>
    <t>Unaccompanied</t>
  </si>
  <si>
    <t>OTH</t>
  </si>
  <si>
    <t>Other</t>
  </si>
  <si>
    <t>CNT</t>
  </si>
  <si>
    <t>LoadingRefUNLOCO.RL_CODE</t>
  </si>
  <si>
    <t>unloco Lookup Code</t>
  </si>
  <si>
    <t>DistchargeRefUNLOCO.RL_CODE</t>
  </si>
  <si>
    <t>GRAND TOTAL</t>
  </si>
  <si>
    <t>JK_TransportMode</t>
  </si>
  <si>
    <t>SendAgentPK</t>
  </si>
  <si>
    <t>RecvAgentPK</t>
  </si>
  <si>
    <t>CoLoadPK</t>
  </si>
  <si>
    <t>Consol ETD</t>
  </si>
  <si>
    <t>Consol ETA</t>
  </si>
  <si>
    <t>Local Client</t>
  </si>
  <si>
    <t>Job ETD</t>
  </si>
  <si>
    <t>Job ETA</t>
  </si>
  <si>
    <t>unloco lookup code</t>
  </si>
  <si>
    <t>Organisation Lookup</t>
  </si>
  <si>
    <t>Job Trans. Mode</t>
  </si>
  <si>
    <t>Job Cont. Mode</t>
  </si>
  <si>
    <t>Consol Cont. Mode</t>
  </si>
  <si>
    <t>Consol Trans. Mode</t>
  </si>
  <si>
    <t>Consol Discharge</t>
  </si>
  <si>
    <t>Sending Agent</t>
  </si>
  <si>
    <t>Receiving Agent</t>
  </si>
  <si>
    <t>Co-Load Agent</t>
  </si>
  <si>
    <t>Job Origin</t>
  </si>
  <si>
    <t>Job Destination</t>
  </si>
  <si>
    <t>Consol Load</t>
  </si>
  <si>
    <t>Job Added Date</t>
  </si>
  <si>
    <t>SubstituteMinDateForNullFrom</t>
  </si>
  <si>
    <t>SubstituteMaxDateForNullTo</t>
  </si>
  <si>
    <t>Organisation Multiple Selection Lookup</t>
  </si>
  <si>
    <t>Sales Group</t>
  </si>
  <si>
    <t>sales/expense groups lookup</t>
  </si>
  <si>
    <t>Expense Group</t>
  </si>
  <si>
    <t>jobheaderstatus codelist</t>
  </si>
  <si>
    <t>chargegroup codelist</t>
  </si>
  <si>
    <t>MaxAllowableSelections</t>
  </si>
  <si>
    <t>ConvertToUtc</t>
  </si>
  <si>
    <t>Containerized</t>
  </si>
  <si>
    <t>CLARION LOGISTICS INDIA PVT. LTD. (IND)</t>
  </si>
  <si>
    <t>Job Profit Charge Code Summary for Periods 202611 to 202611</t>
  </si>
  <si>
    <t xml:space="preserve">Job Status: </t>
  </si>
  <si>
    <t xml:space="preserve">Transaction Branches: </t>
  </si>
  <si>
    <t xml:space="preserve">Transaction Departments: </t>
  </si>
  <si>
    <t xml:space="preserve">Local Client: </t>
  </si>
  <si>
    <t>Local Currency: INR</t>
  </si>
  <si>
    <t>Printed by Nimitha Jacob 06-Feb-26 10:36</t>
  </si>
  <si>
    <t>Charge Code</t>
  </si>
  <si>
    <t>Charge Description</t>
  </si>
  <si>
    <t>Group</t>
  </si>
  <si>
    <t>Job Profit</t>
  </si>
  <si>
    <t>Revenues</t>
  </si>
  <si>
    <t>WIP</t>
  </si>
  <si>
    <t>Costs</t>
  </si>
  <si>
    <t>Accruals</t>
  </si>
  <si>
    <t>CWAFEE</t>
  </si>
  <si>
    <t>CARGOWISE AUTOMATION FEE</t>
  </si>
  <si>
    <t>FRT</t>
  </si>
  <si>
    <t>FRTE</t>
  </si>
  <si>
    <t>Air Freight Export</t>
  </si>
  <si>
    <t>O-CWAF</t>
  </si>
  <si>
    <t>ORIGIN CARGOWISE AUTOMATION FEE</t>
  </si>
  <si>
    <t>ORG</t>
  </si>
  <si>
    <t>ONOTE</t>
  </si>
  <si>
    <t>Origin - Other Charges</t>
  </si>
  <si>
    <t>SEFREX</t>
  </si>
  <si>
    <t>Sea Freight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</si>
</sst>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_ ;\-#,##0.00\ "/>
  </numFmts>
  <fonts count="14" x14ac:knownFonts="1">
    <font>
      <sz val="10"/>
      <name val="Arial"/>
    </font>
    <font>
      <sz val="8"/>
      <name val="Arial"/>
      <family val="2"/>
      <charset val="204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16"/>
      <name val="Arial"/>
      <family val="2"/>
    </font>
    <font>
      <sz val="8"/>
      <color indexed="9"/>
      <name val="Arial"/>
      <family val="2"/>
    </font>
    <font>
      <b/>
      <sz val="8"/>
      <color indexed="18"/>
      <name val="Arial"/>
      <family val="2"/>
    </font>
    <font>
      <b/>
      <sz val="10"/>
      <color indexed="18"/>
      <name val="Arial"/>
      <family val="2"/>
    </font>
    <font>
      <b/>
      <sz val="14"/>
      <color indexed="18"/>
      <name val="Arial"/>
      <family val="2"/>
    </font>
    <font>
      <b/>
      <sz val="9"/>
      <color indexed="18"/>
      <name val="Arial"/>
      <family val="2"/>
    </font>
    <font>
      <b/>
      <u/>
      <sz val="8"/>
      <name val="Arial"/>
      <family val="2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auto="1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3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2" fillId="0" borderId="0" xfId="0" applyFont="1" applyAlignment="1">
      <alignment horizontal="left"/>
    </xf>
    <xf numFmtId="0" fontId="5" fillId="0" borderId="0" xfId="0" applyFont="1"/>
    <xf numFmtId="4" fontId="2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0" fontId="5" fillId="2" borderId="1" xfId="0" applyFont="1" applyFill="1" applyBorder="1" applyAlignment="1">
      <alignment vertical="top"/>
    </xf>
    <xf numFmtId="0" fontId="8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horizontal="centerContinuous" vertical="top"/>
    </xf>
    <xf numFmtId="0" fontId="10" fillId="0" borderId="0" xfId="0" applyFont="1" applyAlignment="1">
      <alignment horizontal="centerContinuous" vertical="top"/>
    </xf>
    <xf numFmtId="0" fontId="1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4" fontId="5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top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"/>
  <sheetViews>
    <sheetView tabSelected="1" topLeftCell="B1" zoomScaleNormal="100" workbookViewId="0"/>
  </sheetViews>
  <sheetFormatPr defaultColWidth="9.08984375" defaultRowHeight="13" x14ac:dyDescent="0.25"/>
  <cols>
    <col min="1" max="1" width="0" style="18" hidden="1" customWidth="1"/>
    <col min="2" max="2" width="1.08984375" style="1" customWidth="1"/>
    <col min="3" max="3" width="16" style="1" customWidth="1"/>
    <col min="4" max="4" width="30.1796875" style="9" customWidth="1"/>
    <col min="5" max="5" width="5.81640625" style="9" bestFit="1" customWidth="1"/>
    <col min="6" max="10" width="11.7265625" style="1" customWidth="1"/>
    <col min="11" max="11" width="9.36328125" style="1" customWidth="1"/>
    <col min="12" max="12" width="9.08984375" style="1"/>
    <col min="13" max="13" width="12.6328125" style="1" customWidth="1"/>
    <col min="14" max="16384" width="9.08984375" style="1"/>
  </cols>
  <sheetData>
    <row r="1" spans="1:13" s="2" customFormat="1" ht="20" x14ac:dyDescent="0.4">
      <c r="A1" s="15"/>
      <c r="B1" s="4" t="s">
        <v>102</v>
      </c>
      <c r="C1" s="4"/>
      <c r="D1" s="3"/>
      <c r="E1" s="3"/>
      <c r="F1" s="3"/>
      <c r="G1" s="3"/>
      <c r="H1" s="3"/>
      <c r="I1" s="3"/>
      <c r="J1" s="3"/>
    </row>
    <row r="2" spans="1:13" ht="18" x14ac:dyDescent="0.35">
      <c r="A2" s="16"/>
      <c r="B2" s="3" t="s">
        <v>103</v>
      </c>
      <c r="C2" s="3"/>
      <c r="D2" s="3"/>
      <c r="E2" s="3"/>
      <c r="F2" s="3"/>
      <c r="G2" s="3"/>
      <c r="H2" s="3"/>
      <c r="I2" s="3"/>
      <c r="J2" s="3"/>
    </row>
    <row r="3" spans="1:13" ht="0" hidden="1" customHeight="1" x14ac:dyDescent="0.25">
      <c r="A3" s="13"/>
      <c r="B3" s="37" t="s">
        <v>104</v>
      </c>
      <c r="C3" s="37"/>
      <c r="D3" s="37"/>
      <c r="E3" s="37"/>
      <c r="F3" s="37"/>
      <c r="G3" s="37"/>
      <c r="H3" s="37"/>
      <c r="I3" s="37"/>
      <c r="J3" s="37"/>
    </row>
    <row r="4" spans="1:13" ht="0" hidden="1" customHeight="1" x14ac:dyDescent="0.25">
      <c r="A4" s="13"/>
      <c r="B4" s="37" t="s">
        <v>105</v>
      </c>
      <c r="C4" s="37"/>
      <c r="D4" s="37"/>
      <c r="E4" s="37"/>
      <c r="F4" s="37"/>
      <c r="G4" s="37"/>
      <c r="H4" s="37"/>
      <c r="I4" s="37"/>
      <c r="J4" s="37"/>
    </row>
    <row r="5" spans="1:13" ht="0" hidden="1" customHeight="1" x14ac:dyDescent="0.25">
      <c r="A5" s="13"/>
      <c r="B5" s="37" t="s">
        <v>106</v>
      </c>
      <c r="C5" s="37"/>
      <c r="D5" s="37"/>
      <c r="E5" s="37"/>
      <c r="F5" s="37"/>
      <c r="G5" s="37"/>
      <c r="H5" s="37"/>
      <c r="I5" s="37"/>
      <c r="J5" s="37"/>
    </row>
    <row r="6" spans="1:13" ht="0" hidden="1" customHeight="1" x14ac:dyDescent="0.25">
      <c r="A6" s="13"/>
      <c r="B6" s="37" t="s">
        <v>107</v>
      </c>
      <c r="C6" s="37"/>
      <c r="D6" s="37"/>
      <c r="E6" s="37"/>
      <c r="F6" s="37"/>
      <c r="G6" s="37"/>
      <c r="H6" s="37"/>
      <c r="I6" s="37"/>
      <c r="J6" s="37"/>
    </row>
    <row r="7" spans="1:13" ht="0" hidden="1" customHeight="1" x14ac:dyDescent="0.25">
      <c r="A7" s="13"/>
      <c r="B7" s="37" t="str">
        <f>IF("" &lt;&gt; "",  "Job Cont:  ", "") &amp;IF("" &lt;&gt; "",  " Job Trans:  ", "") &amp;IF("" &lt;&gt; "",  " Job Orig:  ", "") &amp;IF("" &lt;&gt; "",  " Job Dest.:  ", "")</f>
        <v/>
      </c>
      <c r="C7" s="37"/>
      <c r="D7" s="37"/>
      <c r="E7" s="37"/>
      <c r="F7" s="37"/>
      <c r="G7" s="37"/>
      <c r="H7" s="37"/>
      <c r="I7" s="37"/>
      <c r="J7" s="37"/>
    </row>
    <row r="8" spans="1:13" ht="0" hidden="1" customHeight="1" x14ac:dyDescent="0.25">
      <c r="A8" s="13"/>
      <c r="B8" s="37" t="str">
        <f>IF("" &lt;&gt; "",  "Consol Cont. Mode:  ", "") &amp;IF("" &lt;&gt; "",  " Consol Trans. Mode:  ", "") &amp;IF("" &lt;&gt; "",  " Consol Load:  ", "") &amp;IF("" &lt;&gt; "",  " Consol Discharge:  ", "")</f>
        <v/>
      </c>
      <c r="C8" s="37"/>
      <c r="D8" s="37"/>
      <c r="E8" s="37"/>
      <c r="F8" s="37"/>
      <c r="G8" s="37"/>
      <c r="H8" s="37"/>
      <c r="I8" s="37"/>
      <c r="J8" s="37"/>
    </row>
    <row r="9" spans="1:13" ht="0" hidden="1" customHeight="1" x14ac:dyDescent="0.25">
      <c r="A9" s="13"/>
      <c r="B9" s="37" t="str">
        <f>IF("" &lt;&gt; "",  "Sending Agent:  ", "") &amp;IF("" &lt;&gt; "",  " Receiving Agent:  ", "") &amp;IF("" &lt;&gt; "",  " Co-Load Agent:  ", "")</f>
        <v/>
      </c>
      <c r="C9" s="37"/>
      <c r="D9" s="37"/>
      <c r="E9" s="37"/>
      <c r="F9" s="37"/>
      <c r="G9" s="37"/>
      <c r="H9" s="37"/>
      <c r="I9" s="37"/>
      <c r="J9" s="37"/>
    </row>
    <row r="10" spans="1:13" ht="0" hidden="1" customHeight="1" x14ac:dyDescent="0.25">
      <c r="A10" s="13"/>
      <c r="B10" s="37" t="str">
        <f>IF(""&lt;&gt;"","Charge Groups:  ", "") &amp;IF("" &lt;&gt; "From:  To: ",  " Job ETD:  ", "") &amp;IF("" &lt;&gt; "From:  To: ",  " Job ETA:  ", "") &amp;IF("" &lt;&gt; "From:  To: ",  " Job Added Date:  ", "")</f>
        <v xml:space="preserve"> Job ETD:   Job ETA:   Job Added Date:  </v>
      </c>
      <c r="C10" s="37"/>
      <c r="D10" s="37"/>
      <c r="E10" s="37"/>
      <c r="F10" s="37"/>
      <c r="G10" s="37"/>
      <c r="H10" s="37"/>
      <c r="I10" s="37"/>
      <c r="J10" s="37"/>
    </row>
    <row r="11" spans="1:13" ht="0" hidden="1" customHeight="1" x14ac:dyDescent="0.25">
      <c r="A11" s="14"/>
      <c r="B11" s="37" t="str">
        <f>IF(""&lt;&gt;"","Sales Group:  ", "") &amp;IF("" &lt;&gt; "",  " Expense Group:  ", "")</f>
        <v/>
      </c>
      <c r="C11" s="37"/>
      <c r="D11" s="37"/>
      <c r="E11" s="37"/>
      <c r="F11" s="37"/>
      <c r="G11" s="37"/>
      <c r="H11" s="37"/>
      <c r="I11" s="37"/>
      <c r="J11" s="37"/>
    </row>
    <row r="12" spans="1:13" ht="11.25" customHeight="1" x14ac:dyDescent="0.25">
      <c r="A12" s="13"/>
      <c r="B12" s="37" t="s">
        <v>108</v>
      </c>
      <c r="C12" s="37"/>
      <c r="D12" s="37"/>
      <c r="E12" s="37"/>
      <c r="F12" s="37"/>
      <c r="G12" s="37"/>
      <c r="H12" s="37"/>
      <c r="I12" s="37"/>
      <c r="J12" s="37"/>
    </row>
    <row r="13" spans="1:13" ht="11.25" customHeight="1" x14ac:dyDescent="0.35">
      <c r="A13" s="13"/>
      <c r="B13" s="2" t="s">
        <v>109</v>
      </c>
      <c r="C13" s="2"/>
      <c r="D13" s="3"/>
      <c r="E13" s="3"/>
      <c r="F13" s="3"/>
      <c r="G13" s="3"/>
      <c r="H13" s="3"/>
      <c r="I13" s="3"/>
      <c r="J13" s="3"/>
    </row>
    <row r="14" spans="1:13" ht="3" customHeight="1" x14ac:dyDescent="0.25">
      <c r="A14" s="17"/>
      <c r="C14" s="2"/>
      <c r="D14" s="5"/>
      <c r="E14" s="5"/>
      <c r="F14" s="2"/>
      <c r="G14" s="2"/>
      <c r="H14" s="2"/>
    </row>
    <row r="15" spans="1:13" ht="11.25" customHeight="1" x14ac:dyDescent="0.25">
      <c r="A15" s="14"/>
      <c r="B15" s="12"/>
      <c r="C15" s="23" t="s">
        <v>110</v>
      </c>
      <c r="D15" s="24" t="s">
        <v>111</v>
      </c>
      <c r="E15" s="24" t="s">
        <v>112</v>
      </c>
      <c r="F15" s="25" t="s">
        <v>113</v>
      </c>
      <c r="G15" s="26" t="s">
        <v>114</v>
      </c>
      <c r="H15" s="26" t="s">
        <v>115</v>
      </c>
      <c r="I15" s="26" t="s">
        <v>116</v>
      </c>
      <c r="J15" s="26" t="s">
        <v>117</v>
      </c>
    </row>
    <row r="16" spans="1:13" s="2" customFormat="1" ht="10.5" x14ac:dyDescent="0.25">
      <c r="A16" s="14"/>
      <c r="B16" s="6"/>
      <c r="C16" s="19" t="s">
        <v>118</v>
      </c>
      <c r="D16" s="22" t="s">
        <v>119</v>
      </c>
      <c r="E16" s="20" t="s">
        <v>120</v>
      </c>
      <c r="F16" s="21">
        <v>100</v>
      </c>
      <c r="G16" s="21">
        <v>0</v>
      </c>
      <c r="H16" s="21">
        <v>10560</v>
      </c>
      <c r="I16" s="21">
        <v>0</v>
      </c>
      <c r="J16" s="21">
        <v>-10460</v>
      </c>
      <c r="K16" s="8"/>
      <c r="L16" s="10"/>
      <c r="M16" s="5"/>
    </row>
    <row r="17" spans="1:13" s="2" customFormat="1" ht="10.5" x14ac:dyDescent="0.25">
      <c r="A17" s="14"/>
      <c r="B17" s="6"/>
      <c r="C17" s="19" t="s">
        <v>121</v>
      </c>
      <c r="D17" s="22" t="s">
        <v>122</v>
      </c>
      <c r="E17" s="20" t="s">
        <v>120</v>
      </c>
      <c r="F17" s="21">
        <v>642052.75</v>
      </c>
      <c r="G17" s="21">
        <v>642052.75</v>
      </c>
      <c r="H17" s="21">
        <v>0</v>
      </c>
      <c r="I17" s="21">
        <v>0</v>
      </c>
      <c r="J17" s="21">
        <v>0</v>
      </c>
      <c r="K17" s="8"/>
      <c r="L17" s="10"/>
      <c r="M17" s="5"/>
    </row>
    <row r="18" spans="1:13" s="2" customFormat="1" ht="21" customHeight="1" x14ac:dyDescent="0.25">
      <c r="A18" s="14"/>
      <c r="B18" s="6"/>
      <c r="C18" s="19" t="s">
        <v>123</v>
      </c>
      <c r="D18" s="22" t="s">
        <v>124</v>
      </c>
      <c r="E18" s="20" t="s">
        <v>125</v>
      </c>
      <c r="F18" s="21">
        <v>-1134.75</v>
      </c>
      <c r="G18" s="21">
        <v>0</v>
      </c>
      <c r="H18" s="21">
        <v>2916.45</v>
      </c>
      <c r="I18" s="21">
        <v>-4051.2</v>
      </c>
      <c r="J18" s="21">
        <v>0</v>
      </c>
      <c r="K18" s="8"/>
      <c r="L18" s="10"/>
      <c r="M18" s="5"/>
    </row>
    <row r="19" spans="1:13" s="2" customFormat="1" ht="10.5" x14ac:dyDescent="0.25">
      <c r="A19" s="14"/>
      <c r="B19" s="6"/>
      <c r="C19" s="19" t="s">
        <v>126</v>
      </c>
      <c r="D19" s="22" t="s">
        <v>127</v>
      </c>
      <c r="E19" s="20" t="s">
        <v>125</v>
      </c>
      <c r="F19" s="21">
        <v>148451</v>
      </c>
      <c r="G19" s="21">
        <v>90851</v>
      </c>
      <c r="H19" s="21">
        <v>57600</v>
      </c>
      <c r="I19" s="21">
        <v>0</v>
      </c>
      <c r="J19" s="21">
        <v>0</v>
      </c>
      <c r="K19" s="8"/>
      <c r="L19" s="10"/>
      <c r="M19" s="5"/>
    </row>
    <row r="20" spans="1:13" s="2" customFormat="1" ht="10.5" x14ac:dyDescent="0.25">
      <c r="A20" s="14"/>
      <c r="B20" s="6"/>
      <c r="C20" s="19" t="s">
        <v>128</v>
      </c>
      <c r="D20" s="22" t="s">
        <v>129</v>
      </c>
      <c r="E20" s="20" t="s">
        <v>120</v>
      </c>
      <c r="F20" s="21">
        <v>55200</v>
      </c>
      <c r="G20" s="21">
        <v>0</v>
      </c>
      <c r="H20" s="21">
        <v>55200</v>
      </c>
      <c r="I20" s="21">
        <v>0</v>
      </c>
      <c r="J20" s="21">
        <v>0</v>
      </c>
      <c r="K20" s="8"/>
      <c r="L20" s="10"/>
      <c r="M20" s="5"/>
    </row>
    <row r="21" spans="1:13" s="2" customFormat="1" ht="10.5" x14ac:dyDescent="0.25">
      <c r="A21" s="14"/>
      <c r="B21" s="6"/>
      <c r="C21" s="6"/>
      <c r="F21" s="7"/>
      <c r="G21" s="7"/>
      <c r="H21" s="7"/>
      <c r="I21" s="11"/>
      <c r="J21" s="7"/>
      <c r="K21" s="8"/>
      <c r="L21" s="10"/>
      <c r="M21" s="5"/>
    </row>
    <row r="22" spans="1:13" s="31" customFormat="1" ht="14.25" customHeight="1" thickBot="1" x14ac:dyDescent="0.3">
      <c r="A22" s="27"/>
      <c r="B22" s="28" t="s">
        <v>67</v>
      </c>
      <c r="C22" s="29"/>
      <c r="D22" s="30"/>
      <c r="F22" s="32">
        <f>SUM(F16:F20)</f>
        <v>844669</v>
      </c>
      <c r="G22" s="32">
        <f>SUM(G16:G20)</f>
        <v>732903.75</v>
      </c>
      <c r="H22" s="32">
        <f>SUM(H16:H20)</f>
        <v>126276.45</v>
      </c>
      <c r="I22" s="32">
        <f>SUM(I16:I20)</f>
        <v>-4051.2</v>
      </c>
      <c r="J22" s="32">
        <f>SUM(J16:J20)</f>
        <v>-10460</v>
      </c>
      <c r="K22" s="33"/>
      <c r="L22" s="34"/>
      <c r="M22" s="35"/>
    </row>
  </sheetData>
  <mergeCells count="10">
    <mergeCell ref="B9:J9"/>
    <mergeCell ref="B10:J10"/>
    <mergeCell ref="B11:J11"/>
    <mergeCell ref="B12:J12"/>
    <mergeCell ref="B3:J3"/>
    <mergeCell ref="B4:J4"/>
    <mergeCell ref="B5:J5"/>
    <mergeCell ref="B6:J6"/>
    <mergeCell ref="B7:J7"/>
    <mergeCell ref="B8:J8"/>
  </mergeCells>
  <printOptions horizontalCentered="1"/>
  <pageMargins left="0.39370078740157499" right="0.39370078740157499" top="0.39370078740157499" bottom="0.39370078740157499" header="0.511811023622047" footer="0.196850393700787"/>
  <pageSetup paperSize="9" scale="47" fitToHeight="0" pageOrder="overThenDown" orientation="portrait" verticalDpi="200" r:id="rId1"/>
  <headerFooter alignWithMargins="0">
    <oddHeader>&amp;R&amp;8&amp;P / &amp;N</oddHeader>
    <oddFooter>&amp;R&amp;G</oddFooter>
  </headerFooter>
  <rowBreaks count="1" manualBreakCount="1">
    <brk id="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"/>
  <sheetViews>
    <sheetView topLeftCell="A28" workbookViewId="0">
      <selection activeCell="C45" sqref="C45"/>
    </sheetView>
  </sheetViews>
  <sheetFormatPr defaultColWidth="9.1796875" defaultRowHeight="12.5" x14ac:dyDescent="0.25"/>
  <cols>
    <col min="1" max="1" width="27.7265625" customWidth="1"/>
    <col min="3" max="3" width="17.90625" customWidth="1"/>
  </cols>
  <sheetData>
    <row r="1" spans="1:4" x14ac:dyDescent="0.25">
      <c r="A1" t="s">
        <v>12</v>
      </c>
      <c r="B1" t="s">
        <v>0</v>
      </c>
      <c r="C1" t="s">
        <v>6</v>
      </c>
    </row>
    <row r="2" spans="1:4" x14ac:dyDescent="0.25">
      <c r="B2" t="s">
        <v>7</v>
      </c>
    </row>
    <row r="3" spans="1:4" x14ac:dyDescent="0.25">
      <c r="A3" t="s">
        <v>13</v>
      </c>
      <c r="B3" t="s">
        <v>0</v>
      </c>
      <c r="C3" t="s">
        <v>6</v>
      </c>
    </row>
    <row r="4" spans="1:4" x14ac:dyDescent="0.25">
      <c r="B4" t="s">
        <v>7</v>
      </c>
    </row>
    <row r="5" spans="1:4" x14ac:dyDescent="0.25">
      <c r="A5" t="s">
        <v>16</v>
      </c>
      <c r="B5" t="s">
        <v>0</v>
      </c>
      <c r="C5" t="s">
        <v>98</v>
      </c>
    </row>
    <row r="6" spans="1:4" s="36" customFormat="1" x14ac:dyDescent="0.25">
      <c r="A6" t="s">
        <v>94</v>
      </c>
      <c r="B6" t="s">
        <v>0</v>
      </c>
      <c r="C6" t="s">
        <v>95</v>
      </c>
    </row>
    <row r="7" spans="1:4" s="36" customFormat="1" x14ac:dyDescent="0.25">
      <c r="A7" t="s">
        <v>96</v>
      </c>
      <c r="B7" t="s">
        <v>0</v>
      </c>
      <c r="C7" t="s">
        <v>95</v>
      </c>
    </row>
    <row r="8" spans="1:4" x14ac:dyDescent="0.25">
      <c r="A8" t="s">
        <v>4</v>
      </c>
      <c r="B8" t="s">
        <v>0</v>
      </c>
      <c r="C8" t="s">
        <v>97</v>
      </c>
    </row>
    <row r="9" spans="1:4" x14ac:dyDescent="0.25">
      <c r="A9" t="s">
        <v>14</v>
      </c>
      <c r="B9" t="s">
        <v>0</v>
      </c>
      <c r="C9" t="s">
        <v>10</v>
      </c>
    </row>
    <row r="10" spans="1:4" x14ac:dyDescent="0.25">
      <c r="B10" t="s">
        <v>99</v>
      </c>
      <c r="C10">
        <v>100</v>
      </c>
    </row>
    <row r="11" spans="1:4" x14ac:dyDescent="0.25">
      <c r="A11" t="s">
        <v>15</v>
      </c>
      <c r="B11" t="s">
        <v>0</v>
      </c>
      <c r="C11" t="s">
        <v>11</v>
      </c>
    </row>
    <row r="12" spans="1:4" x14ac:dyDescent="0.25">
      <c r="B12" t="s">
        <v>99</v>
      </c>
      <c r="C12">
        <v>100</v>
      </c>
    </row>
    <row r="13" spans="1:4" x14ac:dyDescent="0.25">
      <c r="A13" t="s">
        <v>79</v>
      </c>
      <c r="B13" t="s">
        <v>0</v>
      </c>
      <c r="C13" t="s">
        <v>17</v>
      </c>
    </row>
    <row r="14" spans="1:4" x14ac:dyDescent="0.25">
      <c r="B14" t="s">
        <v>18</v>
      </c>
      <c r="C14" t="s">
        <v>19</v>
      </c>
    </row>
    <row r="15" spans="1:4" x14ac:dyDescent="0.25">
      <c r="B15" t="s">
        <v>20</v>
      </c>
      <c r="C15" t="s">
        <v>21</v>
      </c>
      <c r="D15" t="s">
        <v>22</v>
      </c>
    </row>
    <row r="16" spans="1:4" x14ac:dyDescent="0.25">
      <c r="C16" t="s">
        <v>23</v>
      </c>
      <c r="D16" t="s">
        <v>24</v>
      </c>
    </row>
    <row r="17" spans="1:4" x14ac:dyDescent="0.25">
      <c r="C17" t="s">
        <v>25</v>
      </c>
      <c r="D17" t="s">
        <v>26</v>
      </c>
    </row>
    <row r="18" spans="1:4" x14ac:dyDescent="0.25">
      <c r="C18" t="s">
        <v>27</v>
      </c>
      <c r="D18" t="s">
        <v>28</v>
      </c>
    </row>
    <row r="19" spans="1:4" x14ac:dyDescent="0.25">
      <c r="C19" t="s">
        <v>29</v>
      </c>
      <c r="D19" t="s">
        <v>30</v>
      </c>
    </row>
    <row r="20" spans="1:4" x14ac:dyDescent="0.25">
      <c r="C20" t="s">
        <v>31</v>
      </c>
      <c r="D20" t="s">
        <v>32</v>
      </c>
    </row>
    <row r="21" spans="1:4" x14ac:dyDescent="0.25">
      <c r="C21" t="s">
        <v>33</v>
      </c>
      <c r="D21" t="s">
        <v>34</v>
      </c>
    </row>
    <row r="22" spans="1:4" x14ac:dyDescent="0.25">
      <c r="A22" t="s">
        <v>80</v>
      </c>
      <c r="B22" t="s">
        <v>0</v>
      </c>
      <c r="C22" t="s">
        <v>17</v>
      </c>
    </row>
    <row r="23" spans="1:4" x14ac:dyDescent="0.25">
      <c r="B23" t="s">
        <v>18</v>
      </c>
      <c r="C23" t="s">
        <v>19</v>
      </c>
    </row>
    <row r="24" spans="1:4" x14ac:dyDescent="0.25">
      <c r="B24" t="s">
        <v>20</v>
      </c>
      <c r="C24" t="s">
        <v>35</v>
      </c>
      <c r="D24" t="s">
        <v>36</v>
      </c>
    </row>
    <row r="25" spans="1:4" x14ac:dyDescent="0.25">
      <c r="C25" t="s">
        <v>37</v>
      </c>
      <c r="D25" t="s">
        <v>38</v>
      </c>
    </row>
    <row r="26" spans="1:4" x14ac:dyDescent="0.25">
      <c r="C26" t="s">
        <v>39</v>
      </c>
      <c r="D26" t="s">
        <v>40</v>
      </c>
    </row>
    <row r="27" spans="1:4" x14ac:dyDescent="0.25">
      <c r="C27" t="s">
        <v>41</v>
      </c>
      <c r="D27" t="s">
        <v>42</v>
      </c>
    </row>
    <row r="28" spans="1:4" x14ac:dyDescent="0.25">
      <c r="C28" t="s">
        <v>43</v>
      </c>
      <c r="D28" t="s">
        <v>44</v>
      </c>
    </row>
    <row r="29" spans="1:4" x14ac:dyDescent="0.25">
      <c r="C29" t="s">
        <v>45</v>
      </c>
      <c r="D29" t="s">
        <v>46</v>
      </c>
    </row>
    <row r="30" spans="1:4" x14ac:dyDescent="0.25">
      <c r="C30" t="s">
        <v>63</v>
      </c>
      <c r="D30" t="s">
        <v>101</v>
      </c>
    </row>
    <row r="31" spans="1:4" x14ac:dyDescent="0.25">
      <c r="C31" t="s">
        <v>47</v>
      </c>
      <c r="D31" t="s">
        <v>48</v>
      </c>
    </row>
    <row r="32" spans="1:4" x14ac:dyDescent="0.25">
      <c r="C32" t="s">
        <v>49</v>
      </c>
      <c r="D32" t="s">
        <v>50</v>
      </c>
    </row>
    <row r="33" spans="1:4" x14ac:dyDescent="0.25">
      <c r="C33" t="s">
        <v>51</v>
      </c>
      <c r="D33" t="s">
        <v>52</v>
      </c>
    </row>
    <row r="34" spans="1:4" x14ac:dyDescent="0.25">
      <c r="C34" t="s">
        <v>53</v>
      </c>
      <c r="D34" t="s">
        <v>54</v>
      </c>
    </row>
    <row r="35" spans="1:4" x14ac:dyDescent="0.25">
      <c r="C35" t="s">
        <v>55</v>
      </c>
      <c r="D35" t="s">
        <v>56</v>
      </c>
    </row>
    <row r="36" spans="1:4" x14ac:dyDescent="0.25">
      <c r="C36" t="s">
        <v>57</v>
      </c>
      <c r="D36" t="s">
        <v>58</v>
      </c>
    </row>
    <row r="37" spans="1:4" x14ac:dyDescent="0.25">
      <c r="C37" t="s">
        <v>59</v>
      </c>
      <c r="D37" t="s">
        <v>60</v>
      </c>
    </row>
    <row r="38" spans="1:4" x14ac:dyDescent="0.25">
      <c r="C38" t="s">
        <v>61</v>
      </c>
      <c r="D38" t="s">
        <v>62</v>
      </c>
    </row>
    <row r="39" spans="1:4" x14ac:dyDescent="0.25">
      <c r="A39" t="s">
        <v>74</v>
      </c>
      <c r="B39" t="s">
        <v>0</v>
      </c>
      <c r="C39" t="s">
        <v>93</v>
      </c>
    </row>
    <row r="40" spans="1:4" x14ac:dyDescent="0.25">
      <c r="B40" t="s">
        <v>99</v>
      </c>
      <c r="C40">
        <v>100</v>
      </c>
    </row>
    <row r="41" spans="1:4" x14ac:dyDescent="0.25">
      <c r="A41" t="s">
        <v>87</v>
      </c>
      <c r="B41" t="s">
        <v>0</v>
      </c>
      <c r="C41" t="s">
        <v>65</v>
      </c>
    </row>
    <row r="42" spans="1:4" x14ac:dyDescent="0.25">
      <c r="B42" t="s">
        <v>1</v>
      </c>
      <c r="C42" t="s">
        <v>64</v>
      </c>
    </row>
    <row r="43" spans="1:4" x14ac:dyDescent="0.25">
      <c r="A43" t="s">
        <v>88</v>
      </c>
      <c r="B43" t="s">
        <v>0</v>
      </c>
      <c r="C43" t="s">
        <v>65</v>
      </c>
    </row>
    <row r="44" spans="1:4" x14ac:dyDescent="0.25">
      <c r="B44" t="s">
        <v>1</v>
      </c>
      <c r="C44" t="s">
        <v>66</v>
      </c>
    </row>
    <row r="45" spans="1:4" x14ac:dyDescent="0.25">
      <c r="A45" t="s">
        <v>75</v>
      </c>
      <c r="B45" t="s">
        <v>0</v>
      </c>
      <c r="C45" t="s">
        <v>9</v>
      </c>
    </row>
    <row r="46" spans="1:4" x14ac:dyDescent="0.25">
      <c r="B46" t="s">
        <v>1</v>
      </c>
      <c r="C46" t="s">
        <v>3</v>
      </c>
    </row>
    <row r="47" spans="1:4" x14ac:dyDescent="0.25">
      <c r="A47" t="s">
        <v>76</v>
      </c>
      <c r="B47" t="s">
        <v>8</v>
      </c>
      <c r="C47" t="s">
        <v>9</v>
      </c>
    </row>
    <row r="48" spans="1:4" x14ac:dyDescent="0.25">
      <c r="B48" t="s">
        <v>1</v>
      </c>
      <c r="C48" t="s">
        <v>2</v>
      </c>
    </row>
    <row r="49" spans="1:4" x14ac:dyDescent="0.25">
      <c r="A49" t="s">
        <v>90</v>
      </c>
      <c r="B49" t="s">
        <v>0</v>
      </c>
      <c r="C49" t="s">
        <v>9</v>
      </c>
    </row>
    <row r="50" spans="1:4" x14ac:dyDescent="0.25">
      <c r="B50" t="s">
        <v>100</v>
      </c>
    </row>
    <row r="52" spans="1:4" x14ac:dyDescent="0.25">
      <c r="A52" t="s">
        <v>81</v>
      </c>
      <c r="B52" t="s">
        <v>0</v>
      </c>
      <c r="C52" t="s">
        <v>17</v>
      </c>
    </row>
    <row r="53" spans="1:4" x14ac:dyDescent="0.25">
      <c r="B53" t="s">
        <v>18</v>
      </c>
      <c r="C53" t="s">
        <v>19</v>
      </c>
    </row>
    <row r="54" spans="1:4" x14ac:dyDescent="0.25">
      <c r="B54" t="s">
        <v>20</v>
      </c>
      <c r="C54" t="s">
        <v>35</v>
      </c>
      <c r="D54" t="s">
        <v>36</v>
      </c>
    </row>
    <row r="55" spans="1:4" x14ac:dyDescent="0.25">
      <c r="C55" t="s">
        <v>37</v>
      </c>
      <c r="D55" t="s">
        <v>38</v>
      </c>
    </row>
    <row r="56" spans="1:4" x14ac:dyDescent="0.25">
      <c r="C56" t="s">
        <v>39</v>
      </c>
      <c r="D56" t="s">
        <v>40</v>
      </c>
    </row>
    <row r="57" spans="1:4" x14ac:dyDescent="0.25">
      <c r="C57" t="s">
        <v>41</v>
      </c>
      <c r="D57" t="s">
        <v>42</v>
      </c>
    </row>
    <row r="58" spans="1:4" x14ac:dyDescent="0.25">
      <c r="C58" t="s">
        <v>43</v>
      </c>
      <c r="D58" t="s">
        <v>44</v>
      </c>
    </row>
    <row r="59" spans="1:4" x14ac:dyDescent="0.25">
      <c r="C59" t="s">
        <v>45</v>
      </c>
      <c r="D59" t="s">
        <v>46</v>
      </c>
    </row>
    <row r="60" spans="1:4" x14ac:dyDescent="0.25">
      <c r="C60" t="s">
        <v>63</v>
      </c>
      <c r="D60" t="s">
        <v>101</v>
      </c>
    </row>
    <row r="61" spans="1:4" x14ac:dyDescent="0.25">
      <c r="C61" t="s">
        <v>47</v>
      </c>
      <c r="D61" t="s">
        <v>48</v>
      </c>
    </row>
    <row r="62" spans="1:4" x14ac:dyDescent="0.25">
      <c r="C62" t="s">
        <v>49</v>
      </c>
      <c r="D62" t="s">
        <v>50</v>
      </c>
    </row>
    <row r="63" spans="1:4" x14ac:dyDescent="0.25">
      <c r="C63" t="s">
        <v>51</v>
      </c>
      <c r="D63" t="s">
        <v>52</v>
      </c>
    </row>
    <row r="64" spans="1:4" x14ac:dyDescent="0.25">
      <c r="C64" t="s">
        <v>53</v>
      </c>
      <c r="D64" t="s">
        <v>54</v>
      </c>
    </row>
    <row r="65" spans="1:4" x14ac:dyDescent="0.25">
      <c r="C65" t="s">
        <v>55</v>
      </c>
      <c r="D65" t="s">
        <v>56</v>
      </c>
    </row>
    <row r="66" spans="1:4" x14ac:dyDescent="0.25">
      <c r="C66" t="s">
        <v>57</v>
      </c>
      <c r="D66" t="s">
        <v>58</v>
      </c>
    </row>
    <row r="67" spans="1:4" x14ac:dyDescent="0.25">
      <c r="C67" t="s">
        <v>59</v>
      </c>
      <c r="D67" t="s">
        <v>60</v>
      </c>
    </row>
    <row r="68" spans="1:4" x14ac:dyDescent="0.25">
      <c r="C68" t="s">
        <v>61</v>
      </c>
      <c r="D68" t="s">
        <v>62</v>
      </c>
    </row>
    <row r="70" spans="1:4" x14ac:dyDescent="0.25">
      <c r="A70" t="s">
        <v>82</v>
      </c>
      <c r="B70" t="s">
        <v>0</v>
      </c>
      <c r="C70" t="s">
        <v>17</v>
      </c>
    </row>
    <row r="71" spans="1:4" x14ac:dyDescent="0.25">
      <c r="B71" t="s">
        <v>1</v>
      </c>
      <c r="C71" t="s">
        <v>68</v>
      </c>
    </row>
    <row r="72" spans="1:4" x14ac:dyDescent="0.25">
      <c r="B72" t="s">
        <v>18</v>
      </c>
      <c r="C72" t="s">
        <v>19</v>
      </c>
    </row>
    <row r="73" spans="1:4" x14ac:dyDescent="0.25">
      <c r="B73" t="s">
        <v>20</v>
      </c>
      <c r="C73" t="s">
        <v>21</v>
      </c>
      <c r="D73" t="s">
        <v>22</v>
      </c>
    </row>
    <row r="74" spans="1:4" x14ac:dyDescent="0.25">
      <c r="C74" t="s">
        <v>23</v>
      </c>
      <c r="D74" t="s">
        <v>24</v>
      </c>
    </row>
    <row r="75" spans="1:4" x14ac:dyDescent="0.25">
      <c r="C75" t="s">
        <v>25</v>
      </c>
      <c r="D75" t="s">
        <v>26</v>
      </c>
    </row>
    <row r="76" spans="1:4" x14ac:dyDescent="0.25">
      <c r="C76" t="s">
        <v>27</v>
      </c>
      <c r="D76" t="s">
        <v>28</v>
      </c>
    </row>
    <row r="77" spans="1:4" x14ac:dyDescent="0.25">
      <c r="C77" t="s">
        <v>29</v>
      </c>
      <c r="D77" t="s">
        <v>30</v>
      </c>
    </row>
    <row r="78" spans="1:4" x14ac:dyDescent="0.25">
      <c r="C78" t="s">
        <v>31</v>
      </c>
      <c r="D78" t="s">
        <v>32</v>
      </c>
    </row>
    <row r="79" spans="1:4" x14ac:dyDescent="0.25">
      <c r="C79" t="s">
        <v>33</v>
      </c>
      <c r="D79" t="s">
        <v>34</v>
      </c>
    </row>
    <row r="80" spans="1:4" x14ac:dyDescent="0.25">
      <c r="A80" t="s">
        <v>89</v>
      </c>
      <c r="B80" t="s">
        <v>0</v>
      </c>
      <c r="C80" t="s">
        <v>77</v>
      </c>
    </row>
    <row r="82" spans="1:3" x14ac:dyDescent="0.25">
      <c r="A82" t="s">
        <v>83</v>
      </c>
      <c r="B82" t="s">
        <v>0</v>
      </c>
      <c r="C82" t="s">
        <v>77</v>
      </c>
    </row>
    <row r="84" spans="1:3" x14ac:dyDescent="0.25">
      <c r="A84" t="s">
        <v>72</v>
      </c>
      <c r="B84" t="s">
        <v>0</v>
      </c>
      <c r="C84" t="s">
        <v>9</v>
      </c>
    </row>
    <row r="85" spans="1:3" x14ac:dyDescent="0.25">
      <c r="B85" t="s">
        <v>92</v>
      </c>
    </row>
    <row r="86" spans="1:3" x14ac:dyDescent="0.25">
      <c r="B86" t="s">
        <v>91</v>
      </c>
    </row>
    <row r="87" spans="1:3" x14ac:dyDescent="0.25">
      <c r="A87" t="s">
        <v>73</v>
      </c>
      <c r="B87" t="s">
        <v>8</v>
      </c>
      <c r="C87" t="s">
        <v>9</v>
      </c>
    </row>
    <row r="88" spans="1:3" x14ac:dyDescent="0.25">
      <c r="B88" t="s">
        <v>92</v>
      </c>
    </row>
    <row r="89" spans="1:3" x14ac:dyDescent="0.25">
      <c r="B89" t="s">
        <v>91</v>
      </c>
    </row>
    <row r="90" spans="1:3" x14ac:dyDescent="0.25">
      <c r="A90" t="s">
        <v>84</v>
      </c>
      <c r="B90" t="s">
        <v>0</v>
      </c>
      <c r="C90" t="s">
        <v>78</v>
      </c>
    </row>
    <row r="91" spans="1:3" x14ac:dyDescent="0.25">
      <c r="B91" t="s">
        <v>1</v>
      </c>
      <c r="C91" t="s">
        <v>69</v>
      </c>
    </row>
    <row r="93" spans="1:3" x14ac:dyDescent="0.25">
      <c r="A93" t="s">
        <v>85</v>
      </c>
      <c r="B93" t="s">
        <v>0</v>
      </c>
      <c r="C93" t="s">
        <v>78</v>
      </c>
    </row>
    <row r="94" spans="1:3" x14ac:dyDescent="0.25">
      <c r="B94" t="s">
        <v>1</v>
      </c>
      <c r="C94" t="s">
        <v>70</v>
      </c>
    </row>
    <row r="96" spans="1:3" x14ac:dyDescent="0.25">
      <c r="A96" t="s">
        <v>86</v>
      </c>
      <c r="B96" t="s">
        <v>0</v>
      </c>
      <c r="C96" t="s">
        <v>78</v>
      </c>
    </row>
    <row r="97" spans="1:3" x14ac:dyDescent="0.25">
      <c r="B97" t="s">
        <v>1</v>
      </c>
      <c r="C97" t="s">
        <v>71</v>
      </c>
    </row>
    <row r="99" spans="1:3" x14ac:dyDescent="0.25">
      <c r="A99" t="s">
        <v>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11" sqref="C11"/>
    </sheetView>
  </sheetViews>
  <sheetFormatPr defaultColWidth="9.1796875" defaultRowHeight="12.5" x14ac:dyDescent="0.25"/>
  <cols>
    <col min="1" max="1" width="25" bestFit="1" customWidth="1"/>
    <col min="2" max="2" width="24.08984375" bestFit="1" customWidth="1"/>
  </cols>
  <sheetData>
    <row r="1" spans="1:1" x14ac:dyDescent="0.25">
      <c r="A1" t="s">
        <v>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Job Profit Charge Code Summary</vt:lpstr>
      <vt:lpstr>'Job Profit Charge Code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</dc:creator>
  <cp:lastModifiedBy>Sebastian Daniel</cp:lastModifiedBy>
  <dcterms:created xsi:type="dcterms:W3CDTF">2026-02-06T05:07:36Z</dcterms:created>
  <dcterms:modified xsi:type="dcterms:W3CDTF">2026-02-06T05:08:20Z</dcterms:modified>
</cp:coreProperties>
</file>