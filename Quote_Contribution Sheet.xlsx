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DESKTOP\Viren\BOSCO\"/>
    </mc:Choice>
  </mc:AlternateContent>
  <xr:revisionPtr revIDLastSave="0" documentId="8_{264E03FA-30B6-4B6D-A5CF-0F9D9F2344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ibution Sheet" sheetId="1" r:id="rId1"/>
    <sheet name="User Codes" sheetId="3" state="hidden" r:id="rId2"/>
  </sheets>
  <definedNames>
    <definedName name="Branchcode">Branch[Branch]</definedName>
    <definedName name="DEPT">DeptCodes2[Department]</definedName>
    <definedName name="exrates">exrate[Currency]</definedName>
    <definedName name="Incoterms">Table6[Inco Terms]</definedName>
    <definedName name="Modeofshipment">modeofshpt2[Mode of Shipment]</definedName>
    <definedName name="_xlnm.Print_Area" localSheetId="0">'Contribution Sheet'!$A$1:$N$57</definedName>
    <definedName name="REP">USERS2[Rep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G40" i="1"/>
  <c r="F41" i="1"/>
  <c r="G41" i="1"/>
  <c r="F42" i="1"/>
  <c r="G42" i="1"/>
  <c r="F35" i="1"/>
  <c r="G35" i="1"/>
  <c r="F36" i="1"/>
  <c r="G36" i="1"/>
  <c r="F37" i="1"/>
  <c r="G37" i="1"/>
  <c r="F38" i="1"/>
  <c r="G38" i="1"/>
  <c r="F39" i="1"/>
  <c r="G39" i="1"/>
  <c r="F34" i="1"/>
  <c r="G34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M21" i="1"/>
  <c r="N21" i="1" s="1"/>
  <c r="M20" i="1"/>
  <c r="M19" i="1"/>
  <c r="M18" i="1"/>
  <c r="M17" i="1"/>
  <c r="M16" i="1"/>
  <c r="M15" i="1"/>
  <c r="M14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J14" i="1"/>
  <c r="N20" i="1" l="1"/>
  <c r="N19" i="1"/>
  <c r="N16" i="1"/>
  <c r="N15" i="1"/>
  <c r="N18" i="1"/>
  <c r="N17" i="1"/>
  <c r="N14" i="1"/>
  <c r="D7" i="1"/>
  <c r="D6" i="1"/>
  <c r="D5" i="1"/>
  <c r="D4" i="1"/>
  <c r="C14" i="1" l="1"/>
  <c r="G24" i="1"/>
  <c r="G23" i="1"/>
  <c r="G22" i="1"/>
  <c r="F14" i="1"/>
  <c r="F15" i="1"/>
  <c r="F16" i="1"/>
  <c r="F17" i="1"/>
  <c r="F18" i="1"/>
  <c r="F19" i="1"/>
  <c r="G19" i="1" s="1"/>
  <c r="F20" i="1"/>
  <c r="G20" i="1" s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G14" i="1" l="1"/>
  <c r="G32" i="1"/>
  <c r="G18" i="1"/>
  <c r="G26" i="1"/>
  <c r="G28" i="1"/>
  <c r="G16" i="1"/>
  <c r="G33" i="1"/>
  <c r="G25" i="1"/>
  <c r="G17" i="1"/>
  <c r="G29" i="1"/>
  <c r="G27" i="1"/>
  <c r="G31" i="1"/>
  <c r="G30" i="1"/>
  <c r="G21" i="1"/>
  <c r="G15" i="1"/>
  <c r="N43" i="1" l="1"/>
  <c r="J4" i="1" s="1"/>
  <c r="G43" i="1"/>
  <c r="J5" i="1" s="1"/>
  <c r="J6" i="1" l="1"/>
  <c r="J7" i="1" s="1"/>
</calcChain>
</file>

<file path=xl/sharedStrings.xml><?xml version="1.0" encoding="utf-8"?>
<sst xmlns="http://schemas.openxmlformats.org/spreadsheetml/2006/main" count="349" uniqueCount="315">
  <si>
    <t>Charge Description</t>
  </si>
  <si>
    <t>Cur</t>
  </si>
  <si>
    <t>Price</t>
  </si>
  <si>
    <t>Qty</t>
  </si>
  <si>
    <t>Ex-Rate</t>
  </si>
  <si>
    <t>Total</t>
  </si>
  <si>
    <t>Total (AED)</t>
  </si>
  <si>
    <t>Buying</t>
  </si>
  <si>
    <t>Selling</t>
  </si>
  <si>
    <t>Rep</t>
  </si>
  <si>
    <t>Rep Name</t>
  </si>
  <si>
    <t>Department</t>
  </si>
  <si>
    <t>Codes</t>
  </si>
  <si>
    <t>AAA</t>
  </si>
  <si>
    <t>Unknown</t>
  </si>
  <si>
    <t>CEA</t>
  </si>
  <si>
    <t>AP2</t>
  </si>
  <si>
    <t>Anuj</t>
  </si>
  <si>
    <t>CES</t>
  </si>
  <si>
    <t>CIA</t>
  </si>
  <si>
    <t>CIS</t>
  </si>
  <si>
    <t>GA4</t>
  </si>
  <si>
    <t>Gowri</t>
  </si>
  <si>
    <t>FEA</t>
  </si>
  <si>
    <t>Freight Forwarding</t>
  </si>
  <si>
    <t>DB0</t>
  </si>
  <si>
    <t>Debu</t>
  </si>
  <si>
    <t>FES</t>
  </si>
  <si>
    <t>FIA</t>
  </si>
  <si>
    <t>FIS</t>
  </si>
  <si>
    <t>TOT</t>
  </si>
  <si>
    <t>TRS</t>
  </si>
  <si>
    <t>Logistics</t>
  </si>
  <si>
    <t>WAH</t>
  </si>
  <si>
    <t>AB</t>
  </si>
  <si>
    <t>ABDULLA</t>
  </si>
  <si>
    <t>Sri Harsha</t>
  </si>
  <si>
    <t>SH</t>
  </si>
  <si>
    <t>AB2</t>
  </si>
  <si>
    <t>Abraham Varkey</t>
  </si>
  <si>
    <t>ABB</t>
  </si>
  <si>
    <t>Rajma</t>
  </si>
  <si>
    <t>ABD</t>
  </si>
  <si>
    <t>Joseph Varghese</t>
  </si>
  <si>
    <t>ADV</t>
  </si>
  <si>
    <t>Sherly Sheeba</t>
  </si>
  <si>
    <t>ABE</t>
  </si>
  <si>
    <t>Clarion</t>
  </si>
  <si>
    <t>ACV</t>
  </si>
  <si>
    <t>Dorocas</t>
  </si>
  <si>
    <t>ABF</t>
  </si>
  <si>
    <t>Rojin</t>
  </si>
  <si>
    <t>ABG</t>
  </si>
  <si>
    <t>Bindhu Ramesh</t>
  </si>
  <si>
    <t>ABI</t>
  </si>
  <si>
    <t>Kishore Manek</t>
  </si>
  <si>
    <t>ABJ</t>
  </si>
  <si>
    <t>Corporate</t>
  </si>
  <si>
    <t>ABK</t>
  </si>
  <si>
    <t>Isaac Antony</t>
  </si>
  <si>
    <t>ABM</t>
  </si>
  <si>
    <t>Bijoy</t>
  </si>
  <si>
    <t>ABN</t>
  </si>
  <si>
    <t>Rekha Dhilla Monteiro</t>
  </si>
  <si>
    <t>ADU</t>
  </si>
  <si>
    <t>Anju</t>
  </si>
  <si>
    <t>ABO</t>
  </si>
  <si>
    <t>Thomas</t>
  </si>
  <si>
    <t>ABP</t>
  </si>
  <si>
    <t>Denny John</t>
  </si>
  <si>
    <t>ABS</t>
  </si>
  <si>
    <t>Sanjay</t>
  </si>
  <si>
    <t>ABU</t>
  </si>
  <si>
    <t>ABV</t>
  </si>
  <si>
    <t>KENETH</t>
  </si>
  <si>
    <t>ABW</t>
  </si>
  <si>
    <t>Kattu</t>
  </si>
  <si>
    <t>ABX</t>
  </si>
  <si>
    <t>Pedro</t>
  </si>
  <si>
    <t>ABY</t>
  </si>
  <si>
    <t>PETER</t>
  </si>
  <si>
    <t>ABZ</t>
  </si>
  <si>
    <t>Nitin</t>
  </si>
  <si>
    <t>ACA</t>
  </si>
  <si>
    <t>Elma Faye Balbin</t>
  </si>
  <si>
    <t>ACB</t>
  </si>
  <si>
    <t>Samuel V B</t>
  </si>
  <si>
    <t>ACD</t>
  </si>
  <si>
    <t>Jose Thomas</t>
  </si>
  <si>
    <t>ACE</t>
  </si>
  <si>
    <t>Tinku Raju</t>
  </si>
  <si>
    <t>ACG</t>
  </si>
  <si>
    <t>Bosco</t>
  </si>
  <si>
    <t>ACI</t>
  </si>
  <si>
    <t>Jasbeer</t>
  </si>
  <si>
    <t>ACL</t>
  </si>
  <si>
    <t>Clarion-NVOCC</t>
  </si>
  <si>
    <t>ACN</t>
  </si>
  <si>
    <t>Sunil</t>
  </si>
  <si>
    <t xml:space="preserve">ACN  </t>
  </si>
  <si>
    <t>SUNIL</t>
  </si>
  <si>
    <t>ACO</t>
  </si>
  <si>
    <t>Roy Kurian</t>
  </si>
  <si>
    <t>ACP</t>
  </si>
  <si>
    <t>Phile Mathew</t>
  </si>
  <si>
    <t>ACS</t>
  </si>
  <si>
    <t>Renju</t>
  </si>
  <si>
    <t>ACX</t>
  </si>
  <si>
    <t>Herbert</t>
  </si>
  <si>
    <t>ACY</t>
  </si>
  <si>
    <t>SAADY</t>
  </si>
  <si>
    <t>ACZ</t>
  </si>
  <si>
    <t>Zainabu</t>
  </si>
  <si>
    <t>ADA</t>
  </si>
  <si>
    <t>Claudine</t>
  </si>
  <si>
    <t>ADB</t>
  </si>
  <si>
    <t>Erik</t>
  </si>
  <si>
    <t>ADC</t>
  </si>
  <si>
    <t>Yusufu</t>
  </si>
  <si>
    <t>ADD</t>
  </si>
  <si>
    <t>Emmanuel</t>
  </si>
  <si>
    <t>ADE</t>
  </si>
  <si>
    <t>Djuma</t>
  </si>
  <si>
    <t>ADF</t>
  </si>
  <si>
    <t>Hamudu</t>
  </si>
  <si>
    <t>ADK</t>
  </si>
  <si>
    <t>PAULIN SIVIHWA MUHINDO</t>
  </si>
  <si>
    <t>AEA</t>
  </si>
  <si>
    <t>RUHMIERA</t>
  </si>
  <si>
    <t>AEC</t>
  </si>
  <si>
    <t>GENTLE</t>
  </si>
  <si>
    <t>AEL</t>
  </si>
  <si>
    <t>PASCAL</t>
  </si>
  <si>
    <t>AET</t>
  </si>
  <si>
    <t>FAROOQ</t>
  </si>
  <si>
    <t>AGT</t>
  </si>
  <si>
    <t>Overseas</t>
  </si>
  <si>
    <t>AHM</t>
  </si>
  <si>
    <t>AHMED LUSWA</t>
  </si>
  <si>
    <t>AKI</t>
  </si>
  <si>
    <t>AKI GUCLU</t>
  </si>
  <si>
    <t>AN</t>
  </si>
  <si>
    <t>Anupa B Nair</t>
  </si>
  <si>
    <t>AND</t>
  </si>
  <si>
    <t>ANDREW</t>
  </si>
  <si>
    <t>ARB</t>
  </si>
  <si>
    <t>Arun B</t>
  </si>
  <si>
    <t>ARU</t>
  </si>
  <si>
    <t>ARUN SAMUEL</t>
  </si>
  <si>
    <t>BAD</t>
  </si>
  <si>
    <t>BADRU</t>
  </si>
  <si>
    <t>BAG</t>
  </si>
  <si>
    <t>BAGEYA</t>
  </si>
  <si>
    <t>BEN</t>
  </si>
  <si>
    <t>Benson Cherian</t>
  </si>
  <si>
    <t>CESAR MALILO MWAMBA</t>
  </si>
  <si>
    <t>CSH</t>
  </si>
  <si>
    <t>CASH &amp; CARRY</t>
  </si>
  <si>
    <t>DBK</t>
  </si>
  <si>
    <t>DRAKE BUKENYA</t>
  </si>
  <si>
    <t>DKA</t>
  </si>
  <si>
    <t>DAVID KASAJJA</t>
  </si>
  <si>
    <t>EM</t>
  </si>
  <si>
    <t>Emmanuel Muhwezi</t>
  </si>
  <si>
    <t>FK</t>
  </si>
  <si>
    <t>FRS KIGALI</t>
  </si>
  <si>
    <t>FKP</t>
  </si>
  <si>
    <t>FRS KAMPALA</t>
  </si>
  <si>
    <t>FN</t>
  </si>
  <si>
    <t>FRS NAIROBI</t>
  </si>
  <si>
    <t>FRD</t>
  </si>
  <si>
    <t>FRS-DAR</t>
  </si>
  <si>
    <t>GFE</t>
  </si>
  <si>
    <t>Georges Feghali</t>
  </si>
  <si>
    <t>HBA</t>
  </si>
  <si>
    <t>HAMZA BUKURA</t>
  </si>
  <si>
    <t>IM</t>
  </si>
  <si>
    <t>Isaac Mulindi</t>
  </si>
  <si>
    <t>JKI</t>
  </si>
  <si>
    <t>JAMIR KASALI</t>
  </si>
  <si>
    <t>JM</t>
  </si>
  <si>
    <t>JEAN MARIES</t>
  </si>
  <si>
    <t>KES</t>
  </si>
  <si>
    <t>KASUBI ERIAS</t>
  </si>
  <si>
    <t>KLJ</t>
  </si>
  <si>
    <t>KALEEMA JOHN</t>
  </si>
  <si>
    <t>LCE</t>
  </si>
  <si>
    <t>LAWRENCE</t>
  </si>
  <si>
    <t>MB</t>
  </si>
  <si>
    <t>Mohamed Bagenda</t>
  </si>
  <si>
    <t>MOS</t>
  </si>
  <si>
    <t>MOSES MULWANA</t>
  </si>
  <si>
    <t>NOM</t>
  </si>
  <si>
    <t>NOMINATION</t>
  </si>
  <si>
    <t>NP</t>
  </si>
  <si>
    <t>NDATIMANA PASCAL</t>
  </si>
  <si>
    <t>PKH</t>
  </si>
  <si>
    <t>PETER KHOUMA</t>
  </si>
  <si>
    <t>PRE</t>
  </si>
  <si>
    <t>Premarajan</t>
  </si>
  <si>
    <t>RAN</t>
  </si>
  <si>
    <t>Ranjith Radhakrishnan</t>
  </si>
  <si>
    <t>RM</t>
  </si>
  <si>
    <t>Rajesh Mohan</t>
  </si>
  <si>
    <t>RMN</t>
  </si>
  <si>
    <t>RAJAN MANI</t>
  </si>
  <si>
    <t>RMS</t>
  </si>
  <si>
    <t>RICHARD MUKASA</t>
  </si>
  <si>
    <t>RND</t>
  </si>
  <si>
    <t>RONALD</t>
  </si>
  <si>
    <t>RON</t>
  </si>
  <si>
    <t>RONNIE  RONALD</t>
  </si>
  <si>
    <t>RPT</t>
  </si>
  <si>
    <t>Related Parties</t>
  </si>
  <si>
    <t>SAA</t>
  </si>
  <si>
    <t>Samuel Abraham</t>
  </si>
  <si>
    <t>SAD</t>
  </si>
  <si>
    <t>SADAT KADDU</t>
  </si>
  <si>
    <t>Ton</t>
  </si>
  <si>
    <t>Tonny</t>
  </si>
  <si>
    <t>WKA</t>
  </si>
  <si>
    <t>WILLIAM KATUMBA</t>
  </si>
  <si>
    <t>WMS</t>
  </si>
  <si>
    <t>Williams Mpalanyi Segawa</t>
  </si>
  <si>
    <t>SBU</t>
  </si>
  <si>
    <t>Shibu Sam</t>
  </si>
  <si>
    <t>Customer Name</t>
  </si>
  <si>
    <t>Sales Person</t>
  </si>
  <si>
    <t>Mode of Shipment</t>
  </si>
  <si>
    <t>Branch</t>
  </si>
  <si>
    <t>Code</t>
  </si>
  <si>
    <t>LSE</t>
  </si>
  <si>
    <t>LCL</t>
  </si>
  <si>
    <t>FCL</t>
  </si>
  <si>
    <t>ROA</t>
  </si>
  <si>
    <t>Road</t>
  </si>
  <si>
    <t>COU</t>
  </si>
  <si>
    <t>Courier</t>
  </si>
  <si>
    <t>POL</t>
  </si>
  <si>
    <t>POD</t>
  </si>
  <si>
    <t>Carrier</t>
  </si>
  <si>
    <t>Agent</t>
  </si>
  <si>
    <t>Customs Clearance Air Export</t>
  </si>
  <si>
    <t>Customs Clearance Sea Export</t>
  </si>
  <si>
    <t>Customs Clearance Air Import</t>
  </si>
  <si>
    <t>Customs Clearance Sea Import</t>
  </si>
  <si>
    <t>Freight Forwarding Air Export</t>
  </si>
  <si>
    <t>Freight Forwarding Sea Export</t>
  </si>
  <si>
    <t>Freight Forwarding Air Import</t>
  </si>
  <si>
    <t>Freight Forwarding Sea Import</t>
  </si>
  <si>
    <t>Freight Forwarding Transportation</t>
  </si>
  <si>
    <t>Logistics Transportation</t>
  </si>
  <si>
    <t>Logistics Warehousing</t>
  </si>
  <si>
    <t>Currency</t>
  </si>
  <si>
    <t>AED</t>
  </si>
  <si>
    <t>USD</t>
  </si>
  <si>
    <t>Seafreight LCL</t>
  </si>
  <si>
    <t>Seafreight FCL</t>
  </si>
  <si>
    <t>Airfreight</t>
  </si>
  <si>
    <t>Branch Code</t>
  </si>
  <si>
    <t>Abu Dhabi</t>
  </si>
  <si>
    <t>AUH</t>
  </si>
  <si>
    <t>Sharjah</t>
  </si>
  <si>
    <t>SHJ</t>
  </si>
  <si>
    <t>Saudi Arabia</t>
  </si>
  <si>
    <t>SAU</t>
  </si>
  <si>
    <t>FFD</t>
  </si>
  <si>
    <t>LOG</t>
  </si>
  <si>
    <t>Gross Profit</t>
  </si>
  <si>
    <t>EUR</t>
  </si>
  <si>
    <t>CAD</t>
  </si>
  <si>
    <t>GBP</t>
  </si>
  <si>
    <t>AUD</t>
  </si>
  <si>
    <t>HKD</t>
  </si>
  <si>
    <t>CHARGE DETAILS</t>
  </si>
  <si>
    <t>Date</t>
  </si>
  <si>
    <t>Inco Terms</t>
  </si>
  <si>
    <t>Ex-works</t>
  </si>
  <si>
    <t>FOB</t>
  </si>
  <si>
    <t>FCA</t>
  </si>
  <si>
    <t>CFR</t>
  </si>
  <si>
    <t>CIF</t>
  </si>
  <si>
    <t>CPT</t>
  </si>
  <si>
    <t>Total Estimated Charges (excluding customs duties &amp; taxes) =&gt;</t>
  </si>
  <si>
    <t>No. of Pkgs (LCL/Airfreight)</t>
  </si>
  <si>
    <t>Weight (KGS)</t>
  </si>
  <si>
    <t>Volume (cbm)</t>
  </si>
  <si>
    <t>No. of Containers (FCL)/ROAD</t>
  </si>
  <si>
    <t>CONTRIBUTION SHEET</t>
  </si>
  <si>
    <t>GP%</t>
  </si>
  <si>
    <t>Job Summary (AED)</t>
  </si>
  <si>
    <t xml:space="preserve">Total Buying </t>
  </si>
  <si>
    <t>For Operations Department's Use:</t>
  </si>
  <si>
    <t>Name of the person entered:</t>
  </si>
  <si>
    <t>Signature</t>
  </si>
  <si>
    <t>Job Number Created</t>
  </si>
  <si>
    <t>Data Consolidation Done:</t>
  </si>
  <si>
    <t>Yes/No</t>
  </si>
  <si>
    <t>Remarks:</t>
  </si>
  <si>
    <t>DAP</t>
  </si>
  <si>
    <t>DDP</t>
  </si>
  <si>
    <t>Agents Nomination</t>
  </si>
  <si>
    <t>TRANSPORTATION</t>
  </si>
  <si>
    <t>BOE</t>
  </si>
  <si>
    <t>PERI LLC</t>
  </si>
  <si>
    <t>BOSCO</t>
  </si>
  <si>
    <t>GATE PASS</t>
  </si>
  <si>
    <t>CUSTOMS CLEARANCE</t>
  </si>
  <si>
    <t>COOLIAGE</t>
  </si>
  <si>
    <t>CUSTOMS DUTY</t>
  </si>
  <si>
    <t>DUBAI</t>
  </si>
  <si>
    <t xml:space="preserve">AIR </t>
  </si>
  <si>
    <t>STUTTGART</t>
  </si>
  <si>
    <t>DO CHARGES</t>
  </si>
  <si>
    <t>1 pkg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</si>
</sst>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26"/>
      <color theme="1"/>
      <name val="Palatino Linotype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10"/>
      <color theme="1"/>
      <name val="Palatino Linotype"/>
      <family val="1"/>
    </font>
    <font>
      <sz val="10"/>
      <color theme="1"/>
      <name val="Palatino Linotype"/>
      <family val="1"/>
    </font>
    <font>
      <sz val="10"/>
      <color rgb="FF000000"/>
      <name val="Palatino Linotype"/>
      <family val="1"/>
    </font>
    <font>
      <b/>
      <u/>
      <sz val="11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95">
    <xf numFmtId="0" fontId="0" fillId="0" borderId="0" xfId="0"/>
    <xf numFmtId="0" fontId="3" fillId="0" borderId="0" xfId="3" applyFont="1"/>
    <xf numFmtId="0" fontId="2" fillId="0" borderId="0" xfId="3"/>
    <xf numFmtId="0" fontId="4" fillId="0" borderId="0" xfId="3" applyFont="1"/>
    <xf numFmtId="0" fontId="4" fillId="0" borderId="0" xfId="3" applyFont="1" applyAlignment="1">
      <alignment horizontal="left" vertical="top"/>
    </xf>
    <xf numFmtId="0" fontId="5" fillId="0" borderId="0" xfId="0" applyFont="1" applyAlignment="1">
      <alignment horizontal="left" vertical="center" indent="1"/>
    </xf>
    <xf numFmtId="0" fontId="2" fillId="7" borderId="19" xfId="3" applyFill="1" applyBorder="1"/>
    <xf numFmtId="0" fontId="2" fillId="0" borderId="0" xfId="3" applyAlignment="1">
      <alignment horizontal="left" vertical="top"/>
    </xf>
    <xf numFmtId="0" fontId="7" fillId="0" borderId="0" xfId="0" applyFont="1" applyProtection="1">
      <protection hidden="1"/>
    </xf>
    <xf numFmtId="0" fontId="9" fillId="4" borderId="1" xfId="0" applyFont="1" applyFill="1" applyBorder="1" applyProtection="1">
      <protection hidden="1"/>
    </xf>
    <xf numFmtId="0" fontId="7" fillId="6" borderId="13" xfId="0" applyFont="1" applyFill="1" applyBorder="1" applyProtection="1">
      <protection hidden="1"/>
    </xf>
    <xf numFmtId="0" fontId="8" fillId="4" borderId="14" xfId="0" applyFont="1" applyFill="1" applyBorder="1" applyProtection="1">
      <protection hidden="1"/>
    </xf>
    <xf numFmtId="0" fontId="8" fillId="4" borderId="2" xfId="0" applyFont="1" applyFill="1" applyBorder="1" applyAlignment="1" applyProtection="1">
      <alignment horizontal="center"/>
      <protection hidden="1"/>
    </xf>
    <xf numFmtId="0" fontId="7" fillId="6" borderId="6" xfId="0" applyFont="1" applyFill="1" applyBorder="1" applyProtection="1">
      <protection hidden="1"/>
    </xf>
    <xf numFmtId="0" fontId="8" fillId="4" borderId="15" xfId="0" applyFont="1" applyFill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0" fillId="5" borderId="1" xfId="0" applyFont="1" applyFill="1" applyBorder="1" applyProtection="1">
      <protection hidden="1"/>
    </xf>
    <xf numFmtId="0" fontId="10" fillId="5" borderId="0" xfId="0" applyFont="1" applyFill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8" xfId="0" applyFont="1" applyBorder="1" applyAlignment="1" applyProtection="1">
      <alignment horizontal="center"/>
      <protection hidden="1"/>
    </xf>
    <xf numFmtId="43" fontId="10" fillId="0" borderId="1" xfId="1" applyFont="1" applyBorder="1" applyProtection="1">
      <protection hidden="1"/>
    </xf>
    <xf numFmtId="0" fontId="10" fillId="0" borderId="0" xfId="0" applyFont="1" applyAlignment="1" applyProtection="1">
      <alignment horizontal="center"/>
      <protection locked="0" hidden="1"/>
    </xf>
    <xf numFmtId="165" fontId="10" fillId="0" borderId="0" xfId="1" applyNumberFormat="1" applyFont="1" applyAlignment="1" applyProtection="1">
      <alignment horizontal="center" vertical="center"/>
      <protection locked="0" hidden="1"/>
    </xf>
    <xf numFmtId="43" fontId="10" fillId="0" borderId="1" xfId="1" applyFont="1" applyBorder="1" applyAlignment="1" applyProtection="1">
      <alignment horizontal="center"/>
      <protection hidden="1"/>
    </xf>
    <xf numFmtId="0" fontId="10" fillId="0" borderId="1" xfId="0" applyFont="1" applyBorder="1" applyAlignment="1" applyProtection="1">
      <alignment horizontal="center"/>
      <protection hidden="1"/>
    </xf>
    <xf numFmtId="43" fontId="9" fillId="0" borderId="1" xfId="1" applyFont="1" applyBorder="1" applyProtection="1">
      <protection hidden="1"/>
    </xf>
    <xf numFmtId="0" fontId="9" fillId="5" borderId="1" xfId="0" applyFont="1" applyFill="1" applyBorder="1" applyProtection="1">
      <protection hidden="1"/>
    </xf>
    <xf numFmtId="9" fontId="9" fillId="0" borderId="1" xfId="2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left" vertical="center"/>
      <protection locked="0" hidden="1"/>
    </xf>
    <xf numFmtId="0" fontId="11" fillId="5" borderId="0" xfId="0" applyFont="1" applyFill="1" applyAlignment="1" applyProtection="1">
      <alignment horizontal="left" vertical="center" indent="1"/>
      <protection hidden="1"/>
    </xf>
    <xf numFmtId="0" fontId="10" fillId="5" borderId="0" xfId="0" applyFont="1" applyFill="1" applyProtection="1">
      <protection locked="0" hidden="1"/>
    </xf>
    <xf numFmtId="165" fontId="10" fillId="5" borderId="0" xfId="1" applyNumberFormat="1" applyFont="1" applyFill="1" applyProtection="1">
      <protection locked="0" hidden="1"/>
    </xf>
    <xf numFmtId="0" fontId="10" fillId="6" borderId="6" xfId="0" applyFont="1" applyFill="1" applyBorder="1" applyProtection="1">
      <protection hidden="1"/>
    </xf>
    <xf numFmtId="0" fontId="10" fillId="0" borderId="4" xfId="0" applyFont="1" applyBorder="1" applyAlignment="1" applyProtection="1">
      <alignment horizontal="center"/>
      <protection locked="0" hidden="1"/>
    </xf>
    <xf numFmtId="164" fontId="10" fillId="0" borderId="4" xfId="0" applyNumberFormat="1" applyFont="1" applyBorder="1" applyAlignment="1" applyProtection="1">
      <alignment horizontal="center"/>
      <protection hidden="1"/>
    </xf>
    <xf numFmtId="43" fontId="10" fillId="0" borderId="4" xfId="1" applyFont="1" applyBorder="1" applyAlignment="1" applyProtection="1">
      <alignment horizontal="center"/>
      <protection locked="0" hidden="1"/>
    </xf>
    <xf numFmtId="0" fontId="10" fillId="0" borderId="3" xfId="0" applyFont="1" applyBorder="1" applyAlignment="1" applyProtection="1">
      <alignment horizontal="center"/>
      <protection locked="0" hidden="1"/>
    </xf>
    <xf numFmtId="43" fontId="10" fillId="0" borderId="2" xfId="1" applyFont="1" applyBorder="1" applyProtection="1">
      <protection hidden="1"/>
    </xf>
    <xf numFmtId="43" fontId="10" fillId="0" borderId="4" xfId="1" applyFont="1" applyBorder="1" applyProtection="1">
      <protection hidden="1"/>
    </xf>
    <xf numFmtId="43" fontId="10" fillId="0" borderId="4" xfId="1" applyFont="1" applyBorder="1" applyProtection="1">
      <protection locked="0" hidden="1"/>
    </xf>
    <xf numFmtId="43" fontId="10" fillId="0" borderId="16" xfId="1" applyFont="1" applyBorder="1" applyProtection="1">
      <protection hidden="1"/>
    </xf>
    <xf numFmtId="0" fontId="10" fillId="0" borderId="17" xfId="0" applyFont="1" applyBorder="1" applyProtection="1"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164" fontId="10" fillId="0" borderId="5" xfId="0" applyNumberFormat="1" applyFont="1" applyBorder="1" applyAlignment="1" applyProtection="1">
      <alignment horizontal="center"/>
      <protection hidden="1"/>
    </xf>
    <xf numFmtId="43" fontId="10" fillId="0" borderId="5" xfId="1" applyFont="1" applyBorder="1" applyAlignment="1" applyProtection="1">
      <alignment horizontal="center"/>
      <protection locked="0" hidden="1"/>
    </xf>
    <xf numFmtId="43" fontId="10" fillId="0" borderId="6" xfId="1" applyFont="1" applyBorder="1" applyProtection="1">
      <protection hidden="1"/>
    </xf>
    <xf numFmtId="43" fontId="10" fillId="0" borderId="5" xfId="1" applyFont="1" applyBorder="1" applyProtection="1">
      <protection hidden="1"/>
    </xf>
    <xf numFmtId="43" fontId="10" fillId="0" borderId="5" xfId="1" applyFont="1" applyBorder="1" applyProtection="1">
      <protection locked="0" hidden="1"/>
    </xf>
    <xf numFmtId="43" fontId="10" fillId="0" borderId="18" xfId="1" applyFont="1" applyBorder="1" applyProtection="1">
      <protection hidden="1"/>
    </xf>
    <xf numFmtId="43" fontId="9" fillId="4" borderId="1" xfId="1" applyFont="1" applyFill="1" applyBorder="1" applyProtection="1">
      <protection hidden="1"/>
    </xf>
    <xf numFmtId="0" fontId="12" fillId="0" borderId="0" xfId="0" applyFont="1" applyProtection="1">
      <protection hidden="1"/>
    </xf>
    <xf numFmtId="0" fontId="7" fillId="0" borderId="23" xfId="0" applyFont="1" applyBorder="1" applyProtection="1">
      <protection hidden="1"/>
    </xf>
    <xf numFmtId="0" fontId="7" fillId="0" borderId="23" xfId="0" applyFont="1" applyBorder="1" applyAlignment="1" applyProtection="1">
      <alignment horizontal="center"/>
      <protection hidden="1"/>
    </xf>
    <xf numFmtId="0" fontId="7" fillId="0" borderId="3" xfId="0" applyFont="1" applyBorder="1" applyProtection="1">
      <protection hidden="1"/>
    </xf>
    <xf numFmtId="0" fontId="7" fillId="0" borderId="4" xfId="0" applyFont="1" applyBorder="1" applyProtection="1">
      <protection hidden="1"/>
    </xf>
    <xf numFmtId="0" fontId="7" fillId="0" borderId="25" xfId="0" applyFont="1" applyBorder="1" applyProtection="1">
      <protection hidden="1"/>
    </xf>
    <xf numFmtId="0" fontId="7" fillId="0" borderId="5" xfId="0" applyFont="1" applyBorder="1" applyProtection="1">
      <protection hidden="1"/>
    </xf>
    <xf numFmtId="0" fontId="7" fillId="0" borderId="26" xfId="0" applyFont="1" applyBorder="1" applyProtection="1">
      <protection hidden="1"/>
    </xf>
    <xf numFmtId="0" fontId="7" fillId="0" borderId="27" xfId="0" applyFont="1" applyBorder="1" applyProtection="1">
      <protection hidden="1"/>
    </xf>
    <xf numFmtId="0" fontId="12" fillId="0" borderId="24" xfId="0" applyFont="1" applyBorder="1" applyProtection="1">
      <protection hidden="1"/>
    </xf>
    <xf numFmtId="0" fontId="10" fillId="0" borderId="14" xfId="0" applyFont="1" applyBorder="1" applyProtection="1">
      <protection locked="0" hidden="1"/>
    </xf>
    <xf numFmtId="0" fontId="12" fillId="0" borderId="3" xfId="0" applyFont="1" applyBorder="1" applyProtection="1">
      <protection hidden="1"/>
    </xf>
    <xf numFmtId="164" fontId="10" fillId="0" borderId="5" xfId="1" applyNumberFormat="1" applyFont="1" applyBorder="1" applyAlignment="1" applyProtection="1">
      <alignment horizontal="center"/>
      <protection hidden="1"/>
    </xf>
    <xf numFmtId="0" fontId="9" fillId="5" borderId="0" xfId="0" applyFont="1" applyFill="1" applyProtection="1">
      <protection hidden="1"/>
    </xf>
    <xf numFmtId="0" fontId="7" fillId="5" borderId="0" xfId="0" applyFont="1" applyFill="1" applyProtection="1">
      <protection hidden="1"/>
    </xf>
    <xf numFmtId="0" fontId="10" fillId="5" borderId="0" xfId="0" applyFont="1" applyFill="1" applyAlignment="1" applyProtection="1">
      <alignment horizontal="left"/>
      <protection locked="0" hidden="1"/>
    </xf>
    <xf numFmtId="0" fontId="10" fillId="5" borderId="0" xfId="0" applyFont="1" applyFill="1" applyAlignment="1" applyProtection="1">
      <alignment horizontal="center"/>
      <protection hidden="1"/>
    </xf>
    <xf numFmtId="0" fontId="11" fillId="5" borderId="0" xfId="0" applyFont="1" applyFill="1" applyAlignment="1" applyProtection="1">
      <alignment horizontal="left" vertical="center"/>
      <protection locked="0" hidden="1"/>
    </xf>
    <xf numFmtId="0" fontId="6" fillId="4" borderId="0" xfId="0" applyFont="1" applyFill="1" applyAlignment="1" applyProtection="1">
      <alignment horizontal="center" vertical="center"/>
      <protection hidden="1"/>
    </xf>
    <xf numFmtId="164" fontId="9" fillId="4" borderId="22" xfId="0" applyNumberFormat="1" applyFont="1" applyFill="1" applyBorder="1" applyAlignment="1" applyProtection="1">
      <alignment horizontal="center"/>
      <protection hidden="1"/>
    </xf>
    <xf numFmtId="164" fontId="9" fillId="4" borderId="1" xfId="0" applyNumberFormat="1" applyFont="1" applyFill="1" applyBorder="1" applyAlignment="1" applyProtection="1">
      <alignment horizontal="center"/>
      <protection hidden="1"/>
    </xf>
    <xf numFmtId="0" fontId="10" fillId="0" borderId="1" xfId="0" applyFont="1" applyBorder="1" applyAlignment="1" applyProtection="1">
      <alignment horizontal="center"/>
      <protection locked="0" hidden="1"/>
    </xf>
    <xf numFmtId="43" fontId="11" fillId="0" borderId="1" xfId="1" applyFont="1" applyBorder="1" applyAlignment="1" applyProtection="1">
      <alignment horizontal="center" vertical="center"/>
      <protection locked="0" hidden="1"/>
    </xf>
    <xf numFmtId="165" fontId="11" fillId="0" borderId="1" xfId="1" applyNumberFormat="1" applyFont="1" applyBorder="1" applyAlignment="1" applyProtection="1">
      <alignment horizontal="center" vertical="center"/>
      <protection locked="0" hidden="1"/>
    </xf>
    <xf numFmtId="0" fontId="8" fillId="3" borderId="13" xfId="0" applyFont="1" applyFill="1" applyBorder="1" applyAlignment="1" applyProtection="1">
      <alignment horizontal="center"/>
      <protection hidden="1"/>
    </xf>
    <xf numFmtId="0" fontId="8" fillId="2" borderId="10" xfId="0" applyFont="1" applyFill="1" applyBorder="1" applyAlignment="1" applyProtection="1">
      <alignment horizontal="center"/>
      <protection hidden="1"/>
    </xf>
    <xf numFmtId="0" fontId="8" fillId="2" borderId="11" xfId="0" applyFont="1" applyFill="1" applyBorder="1" applyAlignment="1" applyProtection="1">
      <alignment horizontal="center"/>
      <protection hidden="1"/>
    </xf>
    <xf numFmtId="0" fontId="8" fillId="2" borderId="12" xfId="0" applyFont="1" applyFill="1" applyBorder="1" applyAlignment="1" applyProtection="1">
      <alignment horizontal="center"/>
      <protection hidden="1"/>
    </xf>
    <xf numFmtId="0" fontId="8" fillId="2" borderId="20" xfId="0" applyFont="1" applyFill="1" applyBorder="1" applyAlignment="1" applyProtection="1">
      <alignment horizontal="center"/>
      <protection hidden="1"/>
    </xf>
    <xf numFmtId="0" fontId="8" fillId="2" borderId="21" xfId="0" applyFont="1" applyFill="1" applyBorder="1" applyAlignment="1" applyProtection="1">
      <alignment horizontal="center"/>
      <protection hidden="1"/>
    </xf>
    <xf numFmtId="14" fontId="10" fillId="5" borderId="7" xfId="0" applyNumberFormat="1" applyFont="1" applyFill="1" applyBorder="1" applyAlignment="1" applyProtection="1">
      <alignment horizontal="center"/>
      <protection locked="0" hidden="1"/>
    </xf>
    <xf numFmtId="14" fontId="10" fillId="5" borderId="9" xfId="0" applyNumberFormat="1" applyFont="1" applyFill="1" applyBorder="1" applyAlignment="1" applyProtection="1">
      <alignment horizontal="center"/>
      <protection locked="0" hidden="1"/>
    </xf>
    <xf numFmtId="14" fontId="10" fillId="5" borderId="8" xfId="0" applyNumberFormat="1" applyFont="1" applyFill="1" applyBorder="1" applyAlignment="1" applyProtection="1">
      <alignment horizontal="center"/>
      <protection locked="0" hidden="1"/>
    </xf>
    <xf numFmtId="43" fontId="9" fillId="4" borderId="7" xfId="1" applyFont="1" applyFill="1" applyBorder="1" applyAlignment="1" applyProtection="1">
      <alignment horizontal="center"/>
      <protection hidden="1"/>
    </xf>
    <xf numFmtId="43" fontId="9" fillId="4" borderId="9" xfId="1" applyFont="1" applyFill="1" applyBorder="1" applyAlignment="1" applyProtection="1">
      <alignment horizontal="center"/>
      <protection hidden="1"/>
    </xf>
    <xf numFmtId="43" fontId="9" fillId="4" borderId="8" xfId="1" applyFont="1" applyFill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left" vertical="center"/>
      <protection locked="0" hidden="1"/>
    </xf>
    <xf numFmtId="0" fontId="11" fillId="0" borderId="7" xfId="0" applyFont="1" applyBorder="1" applyAlignment="1" applyProtection="1">
      <alignment horizontal="left"/>
      <protection locked="0" hidden="1"/>
    </xf>
    <xf numFmtId="0" fontId="10" fillId="0" borderId="8" xfId="0" applyFont="1" applyBorder="1" applyAlignment="1" applyProtection="1">
      <alignment horizontal="left"/>
      <protection locked="0"/>
    </xf>
    <xf numFmtId="0" fontId="10" fillId="0" borderId="7" xfId="0" applyFont="1" applyBorder="1" applyAlignment="1" applyProtection="1">
      <alignment horizontal="left"/>
      <protection locked="0" hidden="1"/>
    </xf>
    <xf numFmtId="0" fontId="10" fillId="0" borderId="9" xfId="0" applyFont="1" applyBorder="1" applyAlignment="1" applyProtection="1">
      <alignment horizontal="left"/>
      <protection locked="0" hidden="1"/>
    </xf>
    <xf numFmtId="0" fontId="10" fillId="0" borderId="8" xfId="0" applyFont="1" applyBorder="1" applyAlignment="1" applyProtection="1">
      <alignment horizontal="left"/>
      <protection locked="0" hidden="1"/>
    </xf>
    <xf numFmtId="0" fontId="8" fillId="8" borderId="1" xfId="0" applyFont="1" applyFill="1" applyBorder="1" applyAlignment="1" applyProtection="1">
      <alignment horizontal="center"/>
      <protection hidden="1"/>
    </xf>
    <xf numFmtId="0" fontId="9" fillId="6" borderId="1" xfId="0" applyFont="1" applyFill="1" applyBorder="1" applyAlignment="1" applyProtection="1">
      <alignment horizontal="left" vertical="center"/>
      <protection hidden="1"/>
    </xf>
    <xf numFmtId="0" fontId="10" fillId="5" borderId="1" xfId="0" applyFont="1" applyFill="1" applyBorder="1" applyAlignment="1" applyProtection="1">
      <alignment horizontal="center"/>
      <protection locked="0" hidden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alatino Linotype"/>
        <scheme val="none"/>
      </font>
      <numFmt numFmtId="165" formatCode="_(* #,##0.000_);_(* \(#,##0.000\);_(* &quot;-&quot;??_);_(@_)"/>
      <alignment horizontal="center" vertical="center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name val="Palatino Linotype"/>
        <scheme val="none"/>
      </font>
      <alignment horizontal="center" vertical="bottom" textRotation="0" wrapText="0" indent="0" justifyLastLine="0" shrinkToFit="0" readingOrder="0"/>
      <protection locked="0" hidden="1"/>
    </dxf>
    <dxf>
      <font>
        <strike val="0"/>
        <outline val="0"/>
        <shadow val="0"/>
        <u val="none"/>
        <vertAlign val="baseline"/>
        <sz val="10"/>
        <name val="Palatino Linotype"/>
        <scheme val="none"/>
      </font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Palatino Linotype"/>
        <scheme val="none"/>
      </font>
      <alignment horizontal="center" vertical="bottom" textRotation="0" wrapText="0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exrate" displayName="exrate" ref="M3:N10" totalsRowShown="0" headerRowDxfId="16" dataDxfId="15">
  <autoFilter ref="M3:N10" xr:uid="{00000000-0009-0000-0100-000005000000}"/>
  <tableColumns count="2">
    <tableColumn id="1" xr3:uid="{00000000-0010-0000-0000-000001000000}" name="Currency" dataDxfId="14"/>
    <tableColumn id="2" xr3:uid="{00000000-0010-0000-0000-000002000000}" name="Ex-Rate" dataDxfId="13" dataCellStyle="Comma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USERS2" displayName="USERS2" ref="A1:B103" totalsRowShown="0" headerRowDxfId="12" dataDxfId="11">
  <autoFilter ref="A1:B103" xr:uid="{00000000-0009-0000-0100-000001000000}"/>
  <tableColumns count="2">
    <tableColumn id="2" xr3:uid="{00000000-0010-0000-0100-000002000000}" name="Rep Name" dataDxfId="10" dataCellStyle="Normal 2"/>
    <tableColumn id="1" xr3:uid="{00000000-0010-0000-0100-000001000000}" name="Rep" dataDxfId="9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eptCodes2" displayName="DeptCodes2" ref="E1:F12" totalsRowShown="0">
  <autoFilter ref="E1:F12" xr:uid="{00000000-0009-0000-0100-000002000000}"/>
  <tableColumns count="2">
    <tableColumn id="2" xr3:uid="{00000000-0010-0000-0200-000002000000}" name="Department" dataDxfId="8" dataCellStyle="Normal 2"/>
    <tableColumn id="1" xr3:uid="{00000000-0010-0000-0200-000001000000}" name="Codes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modeofshpt2" displayName="modeofshpt2" ref="H1:I6" totalsRowShown="0" headerRowDxfId="7" dataDxfId="6" headerRowCellStyle="Normal 2" dataCellStyle="Normal 2">
  <autoFilter ref="H1:I6" xr:uid="{00000000-0009-0000-0100-000003000000}"/>
  <tableColumns count="2">
    <tableColumn id="2" xr3:uid="{00000000-0010-0000-0300-000002000000}" name="Mode of Shipment" dataDxfId="5" dataCellStyle="Normal 2"/>
    <tableColumn id="1" xr3:uid="{00000000-0010-0000-0300-000001000000}" name="Code" dataDxfId="4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Branch" displayName="Branch" ref="K1:L6" totalsRowShown="0" headerRowDxfId="3" dataDxfId="2" headerRowCellStyle="Normal 2" dataCellStyle="Normal 2">
  <autoFilter ref="K1:L6" xr:uid="{00000000-0009-0000-0100-000004000000}"/>
  <tableColumns count="2">
    <tableColumn id="1" xr3:uid="{00000000-0010-0000-0400-000001000000}" name="Branch" dataDxfId="1" dataCellStyle="Normal 2"/>
    <tableColumn id="2" xr3:uid="{00000000-0010-0000-0400-000002000000}" name="Branch Code" dataDxfId="0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N1:N9" totalsRowShown="0" headerRowCellStyle="Normal 2" dataCellStyle="Normal 2">
  <autoFilter ref="N1:N9" xr:uid="{00000000-0009-0000-0100-000006000000}"/>
  <tableColumns count="1">
    <tableColumn id="1" xr3:uid="{00000000-0010-0000-0500-000001000000}" name="Inco Terms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7"/>
  <sheetViews>
    <sheetView tabSelected="1" view="pageBreakPreview" zoomScale="90" zoomScaleNormal="90" zoomScaleSheetLayoutView="90" workbookViewId="0">
      <selection activeCell="M8" sqref="M8"/>
    </sheetView>
  </sheetViews>
  <sheetFormatPr defaultColWidth="9.140625" defaultRowHeight="16.5" x14ac:dyDescent="0.3"/>
  <cols>
    <col min="1" max="1" width="28" style="8" customWidth="1"/>
    <col min="2" max="2" width="9.5703125" style="8" customWidth="1"/>
    <col min="3" max="3" width="14.140625" style="15" customWidth="1"/>
    <col min="4" max="4" width="10.42578125" style="8" bestFit="1" customWidth="1"/>
    <col min="5" max="5" width="13.42578125" style="8" bestFit="1" customWidth="1"/>
    <col min="6" max="6" width="10.42578125" style="8" bestFit="1" customWidth="1"/>
    <col min="7" max="7" width="12.85546875" style="8" bestFit="1" customWidth="1"/>
    <col min="8" max="8" width="1.42578125" style="8" customWidth="1"/>
    <col min="9" max="9" width="11.42578125" style="8" customWidth="1"/>
    <col min="10" max="11" width="13.28515625" style="8" customWidth="1"/>
    <col min="12" max="12" width="12.140625" style="8" customWidth="1"/>
    <col min="13" max="13" width="13.5703125" style="8" bestFit="1" customWidth="1"/>
    <col min="14" max="14" width="13.140625" style="8" bestFit="1" customWidth="1"/>
    <col min="15" max="16384" width="9.140625" style="8"/>
  </cols>
  <sheetData>
    <row r="1" spans="1:14" ht="37.5" x14ac:dyDescent="0.3">
      <c r="A1" s="68" t="s">
        <v>288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x14ac:dyDescent="0.3">
      <c r="A2" s="16" t="s">
        <v>275</v>
      </c>
      <c r="B2" s="80">
        <v>45903</v>
      </c>
      <c r="C2" s="81"/>
      <c r="D2" s="82"/>
      <c r="E2" s="17"/>
      <c r="F2" s="29"/>
      <c r="G2" s="17"/>
      <c r="H2" s="17"/>
      <c r="I2" s="17"/>
      <c r="J2" s="17"/>
      <c r="K2" s="17"/>
      <c r="L2" s="17"/>
      <c r="M2" s="17"/>
      <c r="N2" s="17"/>
    </row>
    <row r="3" spans="1:14" ht="17.25" x14ac:dyDescent="0.35">
      <c r="A3" s="9" t="s">
        <v>226</v>
      </c>
      <c r="B3" s="89" t="s">
        <v>304</v>
      </c>
      <c r="C3" s="90"/>
      <c r="D3" s="91"/>
      <c r="E3" s="9" t="s">
        <v>238</v>
      </c>
      <c r="F3" s="89" t="s">
        <v>312</v>
      </c>
      <c r="G3" s="91"/>
      <c r="H3" s="17"/>
      <c r="I3" s="92" t="s">
        <v>290</v>
      </c>
      <c r="J3" s="92"/>
      <c r="K3" s="64"/>
      <c r="L3" s="64"/>
      <c r="M3" s="18" t="s">
        <v>253</v>
      </c>
      <c r="N3" s="18" t="s">
        <v>4</v>
      </c>
    </row>
    <row r="4" spans="1:14" x14ac:dyDescent="0.3">
      <c r="A4" s="9" t="s">
        <v>227</v>
      </c>
      <c r="B4" s="89" t="s">
        <v>305</v>
      </c>
      <c r="C4" s="91"/>
      <c r="D4" s="19" t="str">
        <f>IF(ISBLANK(B4)," ",VLOOKUP(B4,USERS2[],2,FALSE))</f>
        <v>ACG</v>
      </c>
      <c r="E4" s="9" t="s">
        <v>239</v>
      </c>
      <c r="F4" s="87" t="s">
        <v>310</v>
      </c>
      <c r="G4" s="88"/>
      <c r="H4" s="17"/>
      <c r="I4" s="16" t="s">
        <v>8</v>
      </c>
      <c r="J4" s="20">
        <f>N43</f>
        <v>1532.5</v>
      </c>
      <c r="K4" s="64"/>
      <c r="L4" s="64"/>
      <c r="M4" s="21" t="s">
        <v>254</v>
      </c>
      <c r="N4" s="22">
        <v>1</v>
      </c>
    </row>
    <row r="5" spans="1:14" x14ac:dyDescent="0.3">
      <c r="A5" s="9" t="s">
        <v>228</v>
      </c>
      <c r="B5" s="89" t="s">
        <v>258</v>
      </c>
      <c r="C5" s="91"/>
      <c r="D5" s="19" t="str">
        <f>IF(ISBLANK(B5)," ",VLOOKUP(B5,modeofshpt2[],2,FALSE))</f>
        <v>LSE</v>
      </c>
      <c r="E5" s="9" t="s">
        <v>240</v>
      </c>
      <c r="F5" s="87"/>
      <c r="G5" s="88"/>
      <c r="H5" s="17"/>
      <c r="I5" s="16" t="s">
        <v>7</v>
      </c>
      <c r="J5" s="23">
        <f>G43</f>
        <v>1092.5</v>
      </c>
      <c r="K5" s="64"/>
      <c r="L5" s="64"/>
      <c r="M5" s="21" t="s">
        <v>255</v>
      </c>
      <c r="N5" s="22">
        <v>3.6850000000000001</v>
      </c>
    </row>
    <row r="6" spans="1:14" x14ac:dyDescent="0.3">
      <c r="A6" s="9" t="s">
        <v>229</v>
      </c>
      <c r="B6" s="89" t="s">
        <v>24</v>
      </c>
      <c r="C6" s="91"/>
      <c r="D6" s="24" t="str">
        <f>IF(ISBLANK(B6)," ",VLOOKUP(B6,Branch[],2,FALSE))</f>
        <v>FFD</v>
      </c>
      <c r="E6" s="9" t="s">
        <v>241</v>
      </c>
      <c r="F6" s="86"/>
      <c r="G6" s="86"/>
      <c r="H6" s="17"/>
      <c r="I6" s="16" t="s">
        <v>268</v>
      </c>
      <c r="J6" s="25">
        <f>J4-J5</f>
        <v>440</v>
      </c>
      <c r="K6" s="64"/>
      <c r="L6" s="64"/>
      <c r="M6" s="21" t="s">
        <v>269</v>
      </c>
      <c r="N6" s="22">
        <v>4.3499999999999996</v>
      </c>
    </row>
    <row r="7" spans="1:14" x14ac:dyDescent="0.3">
      <c r="A7" s="9" t="s">
        <v>11</v>
      </c>
      <c r="B7" s="89" t="s">
        <v>244</v>
      </c>
      <c r="C7" s="91"/>
      <c r="D7" s="24" t="str">
        <f>IF(ISBLANK(B7)," ",VLOOKUP(B7,DeptCodes2[],2,FALSE))</f>
        <v>CIA</v>
      </c>
      <c r="E7" s="9" t="s">
        <v>276</v>
      </c>
      <c r="F7" s="86"/>
      <c r="G7" s="86"/>
      <c r="H7" s="17"/>
      <c r="I7" s="26" t="s">
        <v>289</v>
      </c>
      <c r="J7" s="27">
        <f>IF(J6=0," ",J6/J5)</f>
        <v>0.40274599542334094</v>
      </c>
      <c r="K7" s="64"/>
      <c r="L7" s="64"/>
      <c r="M7" s="21" t="s">
        <v>270</v>
      </c>
      <c r="N7" s="22">
        <v>2.798</v>
      </c>
    </row>
    <row r="8" spans="1:14" x14ac:dyDescent="0.3">
      <c r="A8" s="9" t="s">
        <v>287</v>
      </c>
      <c r="B8" s="71" t="s">
        <v>311</v>
      </c>
      <c r="C8" s="71"/>
      <c r="D8" s="71"/>
      <c r="E8" s="9" t="s">
        <v>285</v>
      </c>
      <c r="F8" s="72">
        <v>308</v>
      </c>
      <c r="G8" s="72"/>
      <c r="H8" s="17"/>
      <c r="I8" s="17"/>
      <c r="J8" s="17"/>
      <c r="K8" s="17"/>
      <c r="L8" s="17"/>
      <c r="M8" s="21" t="s">
        <v>271</v>
      </c>
      <c r="N8" s="22">
        <v>4.585</v>
      </c>
    </row>
    <row r="9" spans="1:14" x14ac:dyDescent="0.3">
      <c r="A9" s="9" t="s">
        <v>284</v>
      </c>
      <c r="B9" s="71" t="s">
        <v>314</v>
      </c>
      <c r="C9" s="71"/>
      <c r="D9" s="71"/>
      <c r="E9" s="9" t="s">
        <v>286</v>
      </c>
      <c r="F9" s="73"/>
      <c r="G9" s="73"/>
      <c r="H9" s="17"/>
      <c r="I9" s="93" t="s">
        <v>301</v>
      </c>
      <c r="J9" s="93"/>
      <c r="K9" s="94"/>
      <c r="L9" s="94"/>
      <c r="M9" s="21" t="s">
        <v>272</v>
      </c>
      <c r="N9" s="22">
        <v>2.5430000000000001</v>
      </c>
    </row>
    <row r="10" spans="1:14" x14ac:dyDescent="0.3">
      <c r="A10" s="63"/>
      <c r="B10" s="65"/>
      <c r="C10" s="65"/>
      <c r="D10" s="66"/>
      <c r="E10" s="63"/>
      <c r="F10" s="67"/>
      <c r="G10" s="28"/>
      <c r="H10" s="17"/>
      <c r="I10" s="17"/>
      <c r="J10" s="17"/>
      <c r="K10" s="17"/>
      <c r="L10" s="17"/>
      <c r="M10" s="21" t="s">
        <v>273</v>
      </c>
      <c r="N10" s="22">
        <v>0.46899999999999997</v>
      </c>
    </row>
    <row r="11" spans="1:14" ht="6.75" customHeight="1" thickBot="1" x14ac:dyDescent="0.35">
      <c r="A11" s="63"/>
      <c r="B11" s="65"/>
      <c r="C11" s="65"/>
      <c r="D11" s="17"/>
      <c r="E11" s="17"/>
      <c r="F11" s="29"/>
      <c r="G11" s="17"/>
      <c r="H11" s="17"/>
      <c r="I11" s="17"/>
      <c r="J11" s="17"/>
      <c r="K11" s="17"/>
      <c r="L11" s="30"/>
      <c r="M11" s="31"/>
      <c r="N11" s="17"/>
    </row>
    <row r="12" spans="1:14" ht="17.25" x14ac:dyDescent="0.35">
      <c r="A12" s="75" t="s">
        <v>274</v>
      </c>
      <c r="B12" s="76"/>
      <c r="C12" s="77"/>
      <c r="D12" s="74" t="s">
        <v>7</v>
      </c>
      <c r="E12" s="74"/>
      <c r="F12" s="74"/>
      <c r="G12" s="74"/>
      <c r="H12" s="10"/>
      <c r="I12" s="78" t="s">
        <v>8</v>
      </c>
      <c r="J12" s="76"/>
      <c r="K12" s="76"/>
      <c r="L12" s="76"/>
      <c r="M12" s="76"/>
      <c r="N12" s="79"/>
    </row>
    <row r="13" spans="1:14" ht="17.25" x14ac:dyDescent="0.35">
      <c r="A13" s="11" t="s">
        <v>0</v>
      </c>
      <c r="B13" s="12" t="s">
        <v>1</v>
      </c>
      <c r="C13" s="12" t="s">
        <v>4</v>
      </c>
      <c r="D13" s="12" t="s">
        <v>2</v>
      </c>
      <c r="E13" s="12" t="s">
        <v>3</v>
      </c>
      <c r="F13" s="12" t="s">
        <v>5</v>
      </c>
      <c r="G13" s="12" t="s">
        <v>6</v>
      </c>
      <c r="H13" s="13"/>
      <c r="I13" s="12" t="s">
        <v>1</v>
      </c>
      <c r="J13" s="12" t="s">
        <v>4</v>
      </c>
      <c r="K13" s="12" t="s">
        <v>2</v>
      </c>
      <c r="L13" s="12" t="s">
        <v>3</v>
      </c>
      <c r="M13" s="12" t="s">
        <v>5</v>
      </c>
      <c r="N13" s="14" t="s">
        <v>6</v>
      </c>
    </row>
    <row r="14" spans="1:14" x14ac:dyDescent="0.3">
      <c r="A14" s="60"/>
      <c r="B14" s="33" t="s">
        <v>254</v>
      </c>
      <c r="C14" s="34">
        <f>IF(ISBLANK(B14)," ",VLOOKUP(B14,exrate[],2,FALSE))</f>
        <v>1</v>
      </c>
      <c r="D14" s="35"/>
      <c r="E14" s="36">
        <v>1</v>
      </c>
      <c r="F14" s="37" t="str">
        <f>IF(ISBLANK(D14)," ",D14*E14)</f>
        <v xml:space="preserve"> </v>
      </c>
      <c r="G14" s="38" t="str">
        <f>IF(ISBLANK(D14)," ",F14*C14)</f>
        <v xml:space="preserve"> </v>
      </c>
      <c r="H14" s="32"/>
      <c r="I14" s="35" t="s">
        <v>254</v>
      </c>
      <c r="J14" s="34">
        <f>IF(ISBLANK(I14)," ",VLOOKUP(I14,exrate[],2,FALSE))</f>
        <v>1</v>
      </c>
      <c r="K14" s="39"/>
      <c r="L14" s="39">
        <v>1</v>
      </c>
      <c r="M14" s="38" t="str">
        <f>IF(ISBLANK(K14)," ",K14*L14)</f>
        <v xml:space="preserve"> </v>
      </c>
      <c r="N14" s="40" t="str">
        <f>IF(ISBLANK(K14)," ",M14*J14)</f>
        <v xml:space="preserve"> </v>
      </c>
    </row>
    <row r="15" spans="1:14" x14ac:dyDescent="0.3">
      <c r="A15" s="41" t="s">
        <v>302</v>
      </c>
      <c r="B15" s="42" t="s">
        <v>254</v>
      </c>
      <c r="C15" s="43">
        <f>IF(ISBLANK(B15)," ",VLOOKUP(B15,exrate[],2,FALSE))</f>
        <v>1</v>
      </c>
      <c r="D15" s="44">
        <v>150</v>
      </c>
      <c r="E15" s="21">
        <v>1</v>
      </c>
      <c r="F15" s="45">
        <f t="shared" ref="F15:F33" si="0">IF(ISBLANK(D15)," ",D15*E15)</f>
        <v>150</v>
      </c>
      <c r="G15" s="46">
        <f t="shared" ref="G15:G33" si="1">IF(ISBLANK(D15)," ",F15*C15)</f>
        <v>150</v>
      </c>
      <c r="H15" s="32"/>
      <c r="I15" s="44" t="s">
        <v>254</v>
      </c>
      <c r="J15" s="62">
        <f>IF(ISBLANK(I15)," ",VLOOKUP(I15,exrate[],2,FALSE))</f>
        <v>1</v>
      </c>
      <c r="K15" s="47">
        <v>350</v>
      </c>
      <c r="L15" s="47">
        <v>1</v>
      </c>
      <c r="M15" s="46">
        <f t="shared" ref="M15:M42" si="2">IF(ISBLANK(K15)," ",K15*L15)</f>
        <v>350</v>
      </c>
      <c r="N15" s="48">
        <f t="shared" ref="N15:N42" si="3">IF(ISBLANK(K15)," ",M15*J15)</f>
        <v>350</v>
      </c>
    </row>
    <row r="16" spans="1:14" x14ac:dyDescent="0.3">
      <c r="A16" s="41" t="s">
        <v>303</v>
      </c>
      <c r="B16" s="42" t="s">
        <v>254</v>
      </c>
      <c r="C16" s="43">
        <f>IF(ISBLANK(B16)," ",VLOOKUP(B16,exrate[],2,FALSE))</f>
        <v>1</v>
      </c>
      <c r="D16" s="44"/>
      <c r="E16" s="21">
        <v>1</v>
      </c>
      <c r="F16" s="45" t="str">
        <f t="shared" si="0"/>
        <v xml:space="preserve"> </v>
      </c>
      <c r="G16" s="46" t="str">
        <f t="shared" si="1"/>
        <v xml:space="preserve"> </v>
      </c>
      <c r="H16" s="32"/>
      <c r="I16" s="44" t="s">
        <v>254</v>
      </c>
      <c r="J16" s="62">
        <f>IF(ISBLANK(I16)," ",VLOOKUP(I16,exrate[],2,FALSE))</f>
        <v>1</v>
      </c>
      <c r="K16" s="47">
        <v>100</v>
      </c>
      <c r="L16" s="47">
        <v>1</v>
      </c>
      <c r="M16" s="46">
        <f t="shared" si="2"/>
        <v>100</v>
      </c>
      <c r="N16" s="48">
        <f t="shared" si="3"/>
        <v>100</v>
      </c>
    </row>
    <row r="17" spans="1:14" x14ac:dyDescent="0.3">
      <c r="A17" s="41" t="s">
        <v>307</v>
      </c>
      <c r="B17" s="42" t="s">
        <v>254</v>
      </c>
      <c r="C17" s="43">
        <f>IF(ISBLANK(B17)," ",VLOOKUP(B17,exrate[],2,FALSE))</f>
        <v>1</v>
      </c>
      <c r="D17" s="44"/>
      <c r="E17" s="21">
        <v>1</v>
      </c>
      <c r="F17" s="45" t="str">
        <f t="shared" si="0"/>
        <v xml:space="preserve"> </v>
      </c>
      <c r="G17" s="46" t="str">
        <f t="shared" si="1"/>
        <v xml:space="preserve"> </v>
      </c>
      <c r="H17" s="32"/>
      <c r="I17" s="44" t="s">
        <v>254</v>
      </c>
      <c r="J17" s="62">
        <f>IF(ISBLANK(I17)," ",VLOOKUP(I17,exrate[],2,FALSE))</f>
        <v>1</v>
      </c>
      <c r="K17" s="47">
        <v>150</v>
      </c>
      <c r="L17" s="47">
        <v>1</v>
      </c>
      <c r="M17" s="46">
        <f t="shared" si="2"/>
        <v>150</v>
      </c>
      <c r="N17" s="48">
        <f t="shared" si="3"/>
        <v>150</v>
      </c>
    </row>
    <row r="18" spans="1:14" x14ac:dyDescent="0.3">
      <c r="A18" s="41" t="s">
        <v>306</v>
      </c>
      <c r="B18" s="42" t="s">
        <v>254</v>
      </c>
      <c r="C18" s="43">
        <f>IF(ISBLANK(B18)," ",VLOOKUP(B18,exrate[],2,FALSE))</f>
        <v>1</v>
      </c>
      <c r="D18" s="44"/>
      <c r="E18" s="21">
        <v>1</v>
      </c>
      <c r="F18" s="45" t="str">
        <f t="shared" si="0"/>
        <v xml:space="preserve"> </v>
      </c>
      <c r="G18" s="46" t="str">
        <f t="shared" si="1"/>
        <v xml:space="preserve"> </v>
      </c>
      <c r="H18" s="32"/>
      <c r="I18" s="44" t="s">
        <v>254</v>
      </c>
      <c r="J18" s="62">
        <f>IF(ISBLANK(I18)," ",VLOOKUP(I18,exrate[],2,FALSE))</f>
        <v>1</v>
      </c>
      <c r="K18" s="47"/>
      <c r="L18" s="47">
        <v>1</v>
      </c>
      <c r="M18" s="46" t="str">
        <f t="shared" si="2"/>
        <v xml:space="preserve"> </v>
      </c>
      <c r="N18" s="48" t="str">
        <f t="shared" si="3"/>
        <v xml:space="preserve"> </v>
      </c>
    </row>
    <row r="19" spans="1:14" x14ac:dyDescent="0.3">
      <c r="A19" s="41" t="s">
        <v>308</v>
      </c>
      <c r="B19" s="42" t="s">
        <v>254</v>
      </c>
      <c r="C19" s="43">
        <f>IF(ISBLANK(B19)," ",VLOOKUP(B19,exrate[],2,FALSE))</f>
        <v>1</v>
      </c>
      <c r="D19" s="44">
        <v>10</v>
      </c>
      <c r="E19" s="21">
        <v>1</v>
      </c>
      <c r="F19" s="45">
        <f t="shared" si="0"/>
        <v>10</v>
      </c>
      <c r="G19" s="46">
        <f t="shared" si="1"/>
        <v>10</v>
      </c>
      <c r="H19" s="32"/>
      <c r="I19" s="44" t="s">
        <v>254</v>
      </c>
      <c r="J19" s="62">
        <f>IF(ISBLANK(I19)," ",VLOOKUP(I19,exrate[],2,FALSE))</f>
        <v>1</v>
      </c>
      <c r="K19" s="47"/>
      <c r="L19" s="47">
        <v>1</v>
      </c>
      <c r="M19" s="46" t="str">
        <f t="shared" si="2"/>
        <v xml:space="preserve"> </v>
      </c>
      <c r="N19" s="48" t="str">
        <f t="shared" si="3"/>
        <v xml:space="preserve"> </v>
      </c>
    </row>
    <row r="20" spans="1:14" x14ac:dyDescent="0.3">
      <c r="A20" s="41" t="s">
        <v>309</v>
      </c>
      <c r="B20" s="42" t="s">
        <v>254</v>
      </c>
      <c r="C20" s="43">
        <f>IF(ISBLANK(B20)," ",VLOOKUP(B20,exrate[],2,FALSE))</f>
        <v>1</v>
      </c>
      <c r="D20" s="44"/>
      <c r="E20" s="21">
        <v>1</v>
      </c>
      <c r="F20" s="45" t="str">
        <f t="shared" si="0"/>
        <v xml:space="preserve"> </v>
      </c>
      <c r="G20" s="46" t="str">
        <f t="shared" si="1"/>
        <v xml:space="preserve"> </v>
      </c>
      <c r="H20" s="32"/>
      <c r="I20" s="44" t="s">
        <v>254</v>
      </c>
      <c r="J20" s="62">
        <f>IF(ISBLANK(I20)," ",VLOOKUP(I20,exrate[],2,FALSE))</f>
        <v>1</v>
      </c>
      <c r="K20" s="47">
        <v>0</v>
      </c>
      <c r="L20" s="47">
        <v>1</v>
      </c>
      <c r="M20" s="46">
        <f t="shared" si="2"/>
        <v>0</v>
      </c>
      <c r="N20" s="48">
        <f t="shared" si="3"/>
        <v>0</v>
      </c>
    </row>
    <row r="21" spans="1:14" x14ac:dyDescent="0.3">
      <c r="A21" s="41" t="s">
        <v>313</v>
      </c>
      <c r="B21" s="42" t="s">
        <v>254</v>
      </c>
      <c r="C21" s="43">
        <f>IF(ISBLANK(B21)," ",VLOOKUP(B21,exrate[],2,FALSE))</f>
        <v>1</v>
      </c>
      <c r="D21" s="44">
        <v>932.5</v>
      </c>
      <c r="E21" s="21">
        <v>1</v>
      </c>
      <c r="F21" s="45">
        <f t="shared" si="0"/>
        <v>932.5</v>
      </c>
      <c r="G21" s="46">
        <f t="shared" si="1"/>
        <v>932.5</v>
      </c>
      <c r="H21" s="32"/>
      <c r="I21" s="44" t="s">
        <v>254</v>
      </c>
      <c r="J21" s="62">
        <f>IF(ISBLANK(I21)," ",VLOOKUP(I21,exrate[],2,FALSE))</f>
        <v>1</v>
      </c>
      <c r="K21" s="47">
        <v>932.5</v>
      </c>
      <c r="L21" s="47">
        <v>1</v>
      </c>
      <c r="M21" s="46">
        <f t="shared" si="2"/>
        <v>932.5</v>
      </c>
      <c r="N21" s="48">
        <f t="shared" si="3"/>
        <v>932.5</v>
      </c>
    </row>
    <row r="22" spans="1:14" x14ac:dyDescent="0.3">
      <c r="A22" s="41"/>
      <c r="B22" s="42"/>
      <c r="C22" s="43" t="str">
        <f>IF(ISBLANK(B22)," ",VLOOKUP(B22,exrate[],2,FALSE))</f>
        <v xml:space="preserve"> </v>
      </c>
      <c r="D22" s="44"/>
      <c r="E22" s="21"/>
      <c r="F22" s="45" t="str">
        <f t="shared" si="0"/>
        <v xml:space="preserve"> </v>
      </c>
      <c r="G22" s="46" t="str">
        <f t="shared" si="1"/>
        <v xml:space="preserve"> </v>
      </c>
      <c r="H22" s="32"/>
      <c r="I22" s="44"/>
      <c r="J22" s="62" t="str">
        <f>IF(ISBLANK(I22)," ",VLOOKUP(I22,exrate[],2,FALSE))</f>
        <v xml:space="preserve"> </v>
      </c>
      <c r="K22" s="47"/>
      <c r="L22" s="47"/>
      <c r="M22" s="46" t="str">
        <f t="shared" si="2"/>
        <v xml:space="preserve"> </v>
      </c>
      <c r="N22" s="48" t="str">
        <f t="shared" si="3"/>
        <v xml:space="preserve"> </v>
      </c>
    </row>
    <row r="23" spans="1:14" x14ac:dyDescent="0.3">
      <c r="A23" s="41"/>
      <c r="B23" s="42"/>
      <c r="C23" s="43" t="str">
        <f>IF(ISBLANK(B23)," ",VLOOKUP(B23,exrate[],2,FALSE))</f>
        <v xml:space="preserve"> </v>
      </c>
      <c r="D23" s="44"/>
      <c r="E23" s="21"/>
      <c r="F23" s="45" t="str">
        <f t="shared" si="0"/>
        <v xml:space="preserve"> </v>
      </c>
      <c r="G23" s="46" t="str">
        <f t="shared" si="1"/>
        <v xml:space="preserve"> </v>
      </c>
      <c r="H23" s="32"/>
      <c r="I23" s="44"/>
      <c r="J23" s="62" t="str">
        <f>IF(ISBLANK(I23)," ",VLOOKUP(I23,exrate[],2,FALSE))</f>
        <v xml:space="preserve"> </v>
      </c>
      <c r="K23" s="47"/>
      <c r="L23" s="47"/>
      <c r="M23" s="46" t="str">
        <f t="shared" si="2"/>
        <v xml:space="preserve"> </v>
      </c>
      <c r="N23" s="48" t="str">
        <f t="shared" si="3"/>
        <v xml:space="preserve"> </v>
      </c>
    </row>
    <row r="24" spans="1:14" x14ac:dyDescent="0.3">
      <c r="A24" s="41"/>
      <c r="B24" s="42"/>
      <c r="C24" s="43" t="str">
        <f>IF(ISBLANK(B24)," ",VLOOKUP(B24,exrate[],2,FALSE))</f>
        <v xml:space="preserve"> </v>
      </c>
      <c r="D24" s="44"/>
      <c r="E24" s="21"/>
      <c r="F24" s="45" t="str">
        <f t="shared" si="0"/>
        <v xml:space="preserve"> </v>
      </c>
      <c r="G24" s="46" t="str">
        <f t="shared" si="1"/>
        <v xml:space="preserve"> </v>
      </c>
      <c r="H24" s="32"/>
      <c r="I24" s="44"/>
      <c r="J24" s="62" t="str">
        <f>IF(ISBLANK(I24)," ",VLOOKUP(I24,exrate[],2,FALSE))</f>
        <v xml:space="preserve"> </v>
      </c>
      <c r="K24" s="47"/>
      <c r="L24" s="47"/>
      <c r="M24" s="46" t="str">
        <f t="shared" si="2"/>
        <v xml:space="preserve"> </v>
      </c>
      <c r="N24" s="48" t="str">
        <f t="shared" si="3"/>
        <v xml:space="preserve"> </v>
      </c>
    </row>
    <row r="25" spans="1:14" x14ac:dyDescent="0.3">
      <c r="A25" s="41"/>
      <c r="B25" s="42"/>
      <c r="C25" s="43" t="str">
        <f>IF(ISBLANK(B25)," ",VLOOKUP(B25,exrate[],2,FALSE))</f>
        <v xml:space="preserve"> </v>
      </c>
      <c r="D25" s="44"/>
      <c r="E25" s="21"/>
      <c r="F25" s="45" t="str">
        <f t="shared" si="0"/>
        <v xml:space="preserve"> </v>
      </c>
      <c r="G25" s="46" t="str">
        <f t="shared" si="1"/>
        <v xml:space="preserve"> </v>
      </c>
      <c r="H25" s="32"/>
      <c r="I25" s="44"/>
      <c r="J25" s="62" t="str">
        <f>IF(ISBLANK(I25)," ",VLOOKUP(I25,exrate[],2,FALSE))</f>
        <v xml:space="preserve"> </v>
      </c>
      <c r="K25" s="47"/>
      <c r="L25" s="47"/>
      <c r="M25" s="46" t="str">
        <f t="shared" si="2"/>
        <v xml:space="preserve"> </v>
      </c>
      <c r="N25" s="48" t="str">
        <f t="shared" si="3"/>
        <v xml:space="preserve"> </v>
      </c>
    </row>
    <row r="26" spans="1:14" x14ac:dyDescent="0.3">
      <c r="A26" s="41"/>
      <c r="B26" s="42"/>
      <c r="C26" s="43" t="str">
        <f>IF(ISBLANK(B26)," ",VLOOKUP(B26,exrate[],2,FALSE))</f>
        <v xml:space="preserve"> </v>
      </c>
      <c r="D26" s="44"/>
      <c r="E26" s="21"/>
      <c r="F26" s="45" t="str">
        <f t="shared" si="0"/>
        <v xml:space="preserve"> </v>
      </c>
      <c r="G26" s="46" t="str">
        <f t="shared" si="1"/>
        <v xml:space="preserve"> </v>
      </c>
      <c r="H26" s="32"/>
      <c r="I26" s="44"/>
      <c r="J26" s="62" t="str">
        <f>IF(ISBLANK(I26)," ",VLOOKUP(I26,exrate[],2,FALSE))</f>
        <v xml:space="preserve"> </v>
      </c>
      <c r="K26" s="47"/>
      <c r="L26" s="47"/>
      <c r="M26" s="46" t="str">
        <f t="shared" si="2"/>
        <v xml:space="preserve"> </v>
      </c>
      <c r="N26" s="48" t="str">
        <f t="shared" si="3"/>
        <v xml:space="preserve"> </v>
      </c>
    </row>
    <row r="27" spans="1:14" x14ac:dyDescent="0.3">
      <c r="A27" s="41"/>
      <c r="B27" s="42"/>
      <c r="C27" s="43" t="str">
        <f>IF(ISBLANK(B27)," ",VLOOKUP(B27,exrate[],2,FALSE))</f>
        <v xml:space="preserve"> </v>
      </c>
      <c r="D27" s="44"/>
      <c r="E27" s="21"/>
      <c r="F27" s="45" t="str">
        <f t="shared" si="0"/>
        <v xml:space="preserve"> </v>
      </c>
      <c r="G27" s="46" t="str">
        <f t="shared" si="1"/>
        <v xml:space="preserve"> </v>
      </c>
      <c r="H27" s="32"/>
      <c r="I27" s="44"/>
      <c r="J27" s="62" t="str">
        <f>IF(ISBLANK(I27)," ",VLOOKUP(I27,exrate[],2,FALSE))</f>
        <v xml:space="preserve"> </v>
      </c>
      <c r="K27" s="47"/>
      <c r="L27" s="47"/>
      <c r="M27" s="46" t="str">
        <f t="shared" si="2"/>
        <v xml:space="preserve"> </v>
      </c>
      <c r="N27" s="48" t="str">
        <f t="shared" si="3"/>
        <v xml:space="preserve"> </v>
      </c>
    </row>
    <row r="28" spans="1:14" x14ac:dyDescent="0.3">
      <c r="A28" s="41"/>
      <c r="B28" s="42"/>
      <c r="C28" s="43" t="str">
        <f>IF(ISBLANK(B28)," ",VLOOKUP(B28,exrate[],2,FALSE))</f>
        <v xml:space="preserve"> </v>
      </c>
      <c r="D28" s="44"/>
      <c r="E28" s="21"/>
      <c r="F28" s="45" t="str">
        <f t="shared" si="0"/>
        <v xml:space="preserve"> </v>
      </c>
      <c r="G28" s="46" t="str">
        <f t="shared" si="1"/>
        <v xml:space="preserve"> </v>
      </c>
      <c r="H28" s="32"/>
      <c r="I28" s="44"/>
      <c r="J28" s="62" t="str">
        <f>IF(ISBLANK(I28)," ",VLOOKUP(I28,exrate[],2,FALSE))</f>
        <v xml:space="preserve"> </v>
      </c>
      <c r="K28" s="47"/>
      <c r="L28" s="47"/>
      <c r="M28" s="46" t="str">
        <f t="shared" si="2"/>
        <v xml:space="preserve"> </v>
      </c>
      <c r="N28" s="48" t="str">
        <f t="shared" si="3"/>
        <v xml:space="preserve"> </v>
      </c>
    </row>
    <row r="29" spans="1:14" x14ac:dyDescent="0.3">
      <c r="A29" s="41"/>
      <c r="B29" s="42"/>
      <c r="C29" s="43" t="str">
        <f>IF(ISBLANK(B29)," ",VLOOKUP(B29,exrate[],2,FALSE))</f>
        <v xml:space="preserve"> </v>
      </c>
      <c r="D29" s="44"/>
      <c r="E29" s="21"/>
      <c r="F29" s="45" t="str">
        <f t="shared" si="0"/>
        <v xml:space="preserve"> </v>
      </c>
      <c r="G29" s="46" t="str">
        <f t="shared" si="1"/>
        <v xml:space="preserve"> </v>
      </c>
      <c r="H29" s="32"/>
      <c r="I29" s="44"/>
      <c r="J29" s="62" t="str">
        <f>IF(ISBLANK(I29)," ",VLOOKUP(I29,exrate[],2,FALSE))</f>
        <v xml:space="preserve"> </v>
      </c>
      <c r="K29" s="47"/>
      <c r="L29" s="47"/>
      <c r="M29" s="46" t="str">
        <f t="shared" si="2"/>
        <v xml:space="preserve"> </v>
      </c>
      <c r="N29" s="48" t="str">
        <f t="shared" si="3"/>
        <v xml:space="preserve"> </v>
      </c>
    </row>
    <row r="30" spans="1:14" x14ac:dyDescent="0.3">
      <c r="A30" s="41"/>
      <c r="B30" s="42"/>
      <c r="C30" s="43" t="str">
        <f>IF(ISBLANK(B30)," ",VLOOKUP(B30,exrate[],2,FALSE))</f>
        <v xml:space="preserve"> </v>
      </c>
      <c r="D30" s="44"/>
      <c r="E30" s="21"/>
      <c r="F30" s="45" t="str">
        <f t="shared" si="0"/>
        <v xml:space="preserve"> </v>
      </c>
      <c r="G30" s="46" t="str">
        <f t="shared" si="1"/>
        <v xml:space="preserve"> </v>
      </c>
      <c r="H30" s="32"/>
      <c r="I30" s="44"/>
      <c r="J30" s="62" t="str">
        <f>IF(ISBLANK(I30)," ",VLOOKUP(I30,exrate[],2,FALSE))</f>
        <v xml:space="preserve"> </v>
      </c>
      <c r="K30" s="47"/>
      <c r="L30" s="47"/>
      <c r="M30" s="46" t="str">
        <f t="shared" si="2"/>
        <v xml:space="preserve"> </v>
      </c>
      <c r="N30" s="48" t="str">
        <f t="shared" si="3"/>
        <v xml:space="preserve"> </v>
      </c>
    </row>
    <row r="31" spans="1:14" x14ac:dyDescent="0.3">
      <c r="A31" s="41"/>
      <c r="B31" s="42"/>
      <c r="C31" s="43" t="str">
        <f>IF(ISBLANK(B31)," ",VLOOKUP(B31,exrate[],2,FALSE))</f>
        <v xml:space="preserve"> </v>
      </c>
      <c r="D31" s="44"/>
      <c r="E31" s="21"/>
      <c r="F31" s="45" t="str">
        <f t="shared" si="0"/>
        <v xml:space="preserve"> </v>
      </c>
      <c r="G31" s="46" t="str">
        <f t="shared" si="1"/>
        <v xml:space="preserve"> </v>
      </c>
      <c r="H31" s="32"/>
      <c r="I31" s="44"/>
      <c r="J31" s="62" t="str">
        <f>IF(ISBLANK(I31)," ",VLOOKUP(I31,exrate[],2,FALSE))</f>
        <v xml:space="preserve"> </v>
      </c>
      <c r="K31" s="47"/>
      <c r="L31" s="47"/>
      <c r="M31" s="46" t="str">
        <f t="shared" si="2"/>
        <v xml:space="preserve"> </v>
      </c>
      <c r="N31" s="48" t="str">
        <f t="shared" si="3"/>
        <v xml:space="preserve"> </v>
      </c>
    </row>
    <row r="32" spans="1:14" x14ac:dyDescent="0.3">
      <c r="A32" s="41"/>
      <c r="B32" s="42"/>
      <c r="C32" s="43" t="str">
        <f>IF(ISBLANK(B32)," ",VLOOKUP(B32,exrate[],2,FALSE))</f>
        <v xml:space="preserve"> </v>
      </c>
      <c r="D32" s="44"/>
      <c r="E32" s="21"/>
      <c r="F32" s="45" t="str">
        <f t="shared" si="0"/>
        <v xml:space="preserve"> </v>
      </c>
      <c r="G32" s="46" t="str">
        <f t="shared" si="1"/>
        <v xml:space="preserve"> </v>
      </c>
      <c r="H32" s="32"/>
      <c r="I32" s="44"/>
      <c r="J32" s="62" t="str">
        <f>IF(ISBLANK(I32)," ",VLOOKUP(I32,exrate[],2,FALSE))</f>
        <v xml:space="preserve"> </v>
      </c>
      <c r="K32" s="47"/>
      <c r="L32" s="47"/>
      <c r="M32" s="46" t="str">
        <f t="shared" si="2"/>
        <v xml:space="preserve"> </v>
      </c>
      <c r="N32" s="48" t="str">
        <f t="shared" si="3"/>
        <v xml:space="preserve"> </v>
      </c>
    </row>
    <row r="33" spans="1:14" x14ac:dyDescent="0.3">
      <c r="A33" s="41"/>
      <c r="B33" s="42"/>
      <c r="C33" s="43" t="str">
        <f>IF(ISBLANK(B33)," ",VLOOKUP(B33,exrate[],2,FALSE))</f>
        <v xml:space="preserve"> </v>
      </c>
      <c r="D33" s="44"/>
      <c r="E33" s="21"/>
      <c r="F33" s="45" t="str">
        <f t="shared" si="0"/>
        <v xml:space="preserve"> </v>
      </c>
      <c r="G33" s="46" t="str">
        <f t="shared" si="1"/>
        <v xml:space="preserve"> </v>
      </c>
      <c r="H33" s="32"/>
      <c r="I33" s="44"/>
      <c r="J33" s="62" t="str">
        <f>IF(ISBLANK(I33)," ",VLOOKUP(I33,exrate[],2,FALSE))</f>
        <v xml:space="preserve"> </v>
      </c>
      <c r="K33" s="47"/>
      <c r="L33" s="47"/>
      <c r="M33" s="46" t="str">
        <f t="shared" si="2"/>
        <v xml:space="preserve"> </v>
      </c>
      <c r="N33" s="48" t="str">
        <f t="shared" si="3"/>
        <v xml:space="preserve"> </v>
      </c>
    </row>
    <row r="34" spans="1:14" x14ac:dyDescent="0.3">
      <c r="A34" s="41"/>
      <c r="B34" s="42"/>
      <c r="C34" s="43" t="str">
        <f>IF(ISBLANK(B34)," ",VLOOKUP(B34,exrate[],2,FALSE))</f>
        <v xml:space="preserve"> </v>
      </c>
      <c r="D34" s="44"/>
      <c r="E34" s="21"/>
      <c r="F34" s="45" t="str">
        <f t="shared" ref="F34:F35" si="4">IF(ISBLANK(D34)," ",D34*E34)</f>
        <v xml:space="preserve"> </v>
      </c>
      <c r="G34" s="46" t="str">
        <f t="shared" ref="G34:G35" si="5">IF(ISBLANK(D34)," ",F34*C34)</f>
        <v xml:space="preserve"> </v>
      </c>
      <c r="H34" s="32"/>
      <c r="I34" s="44"/>
      <c r="J34" s="62" t="str">
        <f>IF(ISBLANK(I34)," ",VLOOKUP(I34,exrate[],2,FALSE))</f>
        <v xml:space="preserve"> </v>
      </c>
      <c r="K34" s="47"/>
      <c r="L34" s="47"/>
      <c r="M34" s="46" t="str">
        <f t="shared" si="2"/>
        <v xml:space="preserve"> </v>
      </c>
      <c r="N34" s="48" t="str">
        <f t="shared" si="3"/>
        <v xml:space="preserve"> </v>
      </c>
    </row>
    <row r="35" spans="1:14" x14ac:dyDescent="0.3">
      <c r="A35" s="41"/>
      <c r="B35" s="42"/>
      <c r="C35" s="43" t="str">
        <f>IF(ISBLANK(B35)," ",VLOOKUP(B35,exrate[],2,FALSE))</f>
        <v xml:space="preserve"> </v>
      </c>
      <c r="D35" s="44"/>
      <c r="E35" s="21"/>
      <c r="F35" s="45" t="str">
        <f t="shared" si="4"/>
        <v xml:space="preserve"> </v>
      </c>
      <c r="G35" s="46" t="str">
        <f t="shared" si="5"/>
        <v xml:space="preserve"> </v>
      </c>
      <c r="H35" s="32"/>
      <c r="I35" s="44"/>
      <c r="J35" s="62" t="str">
        <f>IF(ISBLANK(I35)," ",VLOOKUP(I35,exrate[],2,FALSE))</f>
        <v xml:space="preserve"> </v>
      </c>
      <c r="K35" s="47"/>
      <c r="L35" s="47"/>
      <c r="M35" s="46" t="str">
        <f t="shared" si="2"/>
        <v xml:space="preserve"> </v>
      </c>
      <c r="N35" s="48" t="str">
        <f t="shared" si="3"/>
        <v xml:space="preserve"> </v>
      </c>
    </row>
    <row r="36" spans="1:14" x14ac:dyDescent="0.3">
      <c r="A36" s="41"/>
      <c r="B36" s="42"/>
      <c r="C36" s="43" t="str">
        <f>IF(ISBLANK(B36)," ",VLOOKUP(B36,exrate[],2,FALSE))</f>
        <v xml:space="preserve"> </v>
      </c>
      <c r="D36" s="44"/>
      <c r="E36" s="21"/>
      <c r="F36" s="45" t="str">
        <f t="shared" ref="F36:F42" si="6">IF(ISBLANK(D36)," ",D36*E36)</f>
        <v xml:space="preserve"> </v>
      </c>
      <c r="G36" s="46" t="str">
        <f t="shared" ref="G36:G42" si="7">IF(ISBLANK(D36)," ",F36*C36)</f>
        <v xml:space="preserve"> </v>
      </c>
      <c r="H36" s="32"/>
      <c r="I36" s="44"/>
      <c r="J36" s="62" t="str">
        <f>IF(ISBLANK(I36)," ",VLOOKUP(I36,exrate[],2,FALSE))</f>
        <v xml:space="preserve"> </v>
      </c>
      <c r="K36" s="47"/>
      <c r="L36" s="47"/>
      <c r="M36" s="46" t="str">
        <f t="shared" si="2"/>
        <v xml:space="preserve"> </v>
      </c>
      <c r="N36" s="48" t="str">
        <f t="shared" si="3"/>
        <v xml:space="preserve"> </v>
      </c>
    </row>
    <row r="37" spans="1:14" x14ac:dyDescent="0.3">
      <c r="A37" s="41"/>
      <c r="B37" s="42"/>
      <c r="C37" s="43" t="str">
        <f>IF(ISBLANK(B37)," ",VLOOKUP(B37,exrate[],2,FALSE))</f>
        <v xml:space="preserve"> </v>
      </c>
      <c r="D37" s="44"/>
      <c r="E37" s="21"/>
      <c r="F37" s="45" t="str">
        <f t="shared" si="6"/>
        <v xml:space="preserve"> </v>
      </c>
      <c r="G37" s="46" t="str">
        <f t="shared" si="7"/>
        <v xml:space="preserve"> </v>
      </c>
      <c r="H37" s="32"/>
      <c r="I37" s="44"/>
      <c r="J37" s="62" t="str">
        <f>IF(ISBLANK(I37)," ",VLOOKUP(I37,exrate[],2,FALSE))</f>
        <v xml:space="preserve"> </v>
      </c>
      <c r="K37" s="47"/>
      <c r="L37" s="47"/>
      <c r="M37" s="46" t="str">
        <f t="shared" si="2"/>
        <v xml:space="preserve"> </v>
      </c>
      <c r="N37" s="48" t="str">
        <f t="shared" si="3"/>
        <v xml:space="preserve"> </v>
      </c>
    </row>
    <row r="38" spans="1:14" x14ac:dyDescent="0.3">
      <c r="A38" s="41"/>
      <c r="B38" s="42"/>
      <c r="C38" s="43" t="str">
        <f>IF(ISBLANK(B38)," ",VLOOKUP(B38,exrate[],2,FALSE))</f>
        <v xml:space="preserve"> </v>
      </c>
      <c r="D38" s="44"/>
      <c r="E38" s="21"/>
      <c r="F38" s="45" t="str">
        <f t="shared" si="6"/>
        <v xml:space="preserve"> </v>
      </c>
      <c r="G38" s="46" t="str">
        <f t="shared" si="7"/>
        <v xml:space="preserve"> </v>
      </c>
      <c r="H38" s="32"/>
      <c r="I38" s="44"/>
      <c r="J38" s="62" t="str">
        <f>IF(ISBLANK(I38)," ",VLOOKUP(I38,exrate[],2,FALSE))</f>
        <v xml:space="preserve"> </v>
      </c>
      <c r="K38" s="47"/>
      <c r="L38" s="47"/>
      <c r="M38" s="46" t="str">
        <f t="shared" si="2"/>
        <v xml:space="preserve"> </v>
      </c>
      <c r="N38" s="48" t="str">
        <f t="shared" si="3"/>
        <v xml:space="preserve"> </v>
      </c>
    </row>
    <row r="39" spans="1:14" x14ac:dyDescent="0.3">
      <c r="A39" s="41"/>
      <c r="B39" s="42"/>
      <c r="C39" s="43" t="str">
        <f>IF(ISBLANK(B39)," ",VLOOKUP(B39,exrate[],2,FALSE))</f>
        <v xml:space="preserve"> </v>
      </c>
      <c r="D39" s="44"/>
      <c r="E39" s="21"/>
      <c r="F39" s="45" t="str">
        <f t="shared" si="6"/>
        <v xml:space="preserve"> </v>
      </c>
      <c r="G39" s="46" t="str">
        <f t="shared" si="7"/>
        <v xml:space="preserve"> </v>
      </c>
      <c r="H39" s="32"/>
      <c r="I39" s="44"/>
      <c r="J39" s="62" t="str">
        <f>IF(ISBLANK(I39)," ",VLOOKUP(I39,exrate[],2,FALSE))</f>
        <v xml:space="preserve"> </v>
      </c>
      <c r="K39" s="47"/>
      <c r="L39" s="47"/>
      <c r="M39" s="46" t="str">
        <f t="shared" si="2"/>
        <v xml:space="preserve"> </v>
      </c>
      <c r="N39" s="48" t="str">
        <f t="shared" si="3"/>
        <v xml:space="preserve"> </v>
      </c>
    </row>
    <row r="40" spans="1:14" x14ac:dyDescent="0.3">
      <c r="A40" s="41"/>
      <c r="B40" s="42"/>
      <c r="C40" s="43" t="str">
        <f>IF(ISBLANK(B40)," ",VLOOKUP(B40,exrate[],2,FALSE))</f>
        <v xml:space="preserve"> </v>
      </c>
      <c r="D40" s="44"/>
      <c r="E40" s="21"/>
      <c r="F40" s="45" t="str">
        <f t="shared" si="6"/>
        <v xml:space="preserve"> </v>
      </c>
      <c r="G40" s="46" t="str">
        <f t="shared" si="7"/>
        <v xml:space="preserve"> </v>
      </c>
      <c r="H40" s="32"/>
      <c r="I40" s="44"/>
      <c r="J40" s="62" t="str">
        <f>IF(ISBLANK(I40)," ",VLOOKUP(I40,exrate[],2,FALSE))</f>
        <v xml:space="preserve"> </v>
      </c>
      <c r="K40" s="47"/>
      <c r="L40" s="47"/>
      <c r="M40" s="46" t="str">
        <f t="shared" si="2"/>
        <v xml:space="preserve"> </v>
      </c>
      <c r="N40" s="48" t="str">
        <f t="shared" si="3"/>
        <v xml:space="preserve"> </v>
      </c>
    </row>
    <row r="41" spans="1:14" x14ac:dyDescent="0.3">
      <c r="A41" s="41"/>
      <c r="B41" s="42"/>
      <c r="C41" s="43" t="str">
        <f>IF(ISBLANK(B41)," ",VLOOKUP(B41,exrate[],2,FALSE))</f>
        <v xml:space="preserve"> </v>
      </c>
      <c r="D41" s="44"/>
      <c r="E41" s="21"/>
      <c r="F41" s="45" t="str">
        <f t="shared" si="6"/>
        <v xml:space="preserve"> </v>
      </c>
      <c r="G41" s="46" t="str">
        <f t="shared" si="7"/>
        <v xml:space="preserve"> </v>
      </c>
      <c r="H41" s="32"/>
      <c r="I41" s="44"/>
      <c r="J41" s="62" t="str">
        <f>IF(ISBLANK(I41)," ",VLOOKUP(I41,exrate[],2,FALSE))</f>
        <v xml:space="preserve"> </v>
      </c>
      <c r="K41" s="47"/>
      <c r="L41" s="47"/>
      <c r="M41" s="46" t="str">
        <f t="shared" si="2"/>
        <v xml:space="preserve"> </v>
      </c>
      <c r="N41" s="48" t="str">
        <f t="shared" si="3"/>
        <v xml:space="preserve"> </v>
      </c>
    </row>
    <row r="42" spans="1:14" x14ac:dyDescent="0.3">
      <c r="A42" s="41"/>
      <c r="B42" s="42"/>
      <c r="C42" s="43" t="str">
        <f>IF(ISBLANK(B42)," ",VLOOKUP(B42,exrate[],2,FALSE))</f>
        <v xml:space="preserve"> </v>
      </c>
      <c r="D42" s="44"/>
      <c r="E42" s="21"/>
      <c r="F42" s="45" t="str">
        <f t="shared" si="6"/>
        <v xml:space="preserve"> </v>
      </c>
      <c r="G42" s="46" t="str">
        <f t="shared" si="7"/>
        <v xml:space="preserve"> </v>
      </c>
      <c r="H42" s="32"/>
      <c r="I42" s="44"/>
      <c r="J42" s="62" t="str">
        <f>IF(ISBLANK(I42)," ",VLOOKUP(I42,exrate[],2,FALSE))</f>
        <v xml:space="preserve"> </v>
      </c>
      <c r="K42" s="47"/>
      <c r="L42" s="47"/>
      <c r="M42" s="46" t="str">
        <f t="shared" si="2"/>
        <v xml:space="preserve"> </v>
      </c>
      <c r="N42" s="48" t="str">
        <f t="shared" si="3"/>
        <v xml:space="preserve"> </v>
      </c>
    </row>
    <row r="43" spans="1:14" x14ac:dyDescent="0.3">
      <c r="A43" s="69" t="s">
        <v>283</v>
      </c>
      <c r="B43" s="70"/>
      <c r="C43" s="70"/>
      <c r="D43" s="70"/>
      <c r="E43" s="70"/>
      <c r="F43" s="70"/>
      <c r="G43" s="49">
        <f>SUM(G14:G42)</f>
        <v>1092.5</v>
      </c>
      <c r="H43" s="32"/>
      <c r="I43" s="83" t="s">
        <v>291</v>
      </c>
      <c r="J43" s="84"/>
      <c r="K43" s="84"/>
      <c r="L43" s="84"/>
      <c r="M43" s="85"/>
      <c r="N43" s="49">
        <f>SUM(N14:N42)</f>
        <v>1532.5</v>
      </c>
    </row>
    <row r="47" spans="1:14" ht="17.25" x14ac:dyDescent="0.35">
      <c r="A47" s="50" t="s">
        <v>292</v>
      </c>
      <c r="I47" s="59" t="s">
        <v>298</v>
      </c>
      <c r="J47" s="61"/>
      <c r="K47" s="61"/>
      <c r="L47" s="53"/>
      <c r="M47" s="53"/>
      <c r="N47" s="54"/>
    </row>
    <row r="48" spans="1:14" x14ac:dyDescent="0.3">
      <c r="I48" s="55"/>
      <c r="N48" s="56"/>
    </row>
    <row r="49" spans="1:14" ht="23.25" customHeight="1" x14ac:dyDescent="0.3">
      <c r="A49" s="8" t="s">
        <v>293</v>
      </c>
      <c r="B49" s="51"/>
      <c r="C49" s="52"/>
      <c r="D49" s="51"/>
      <c r="E49" s="51"/>
      <c r="F49" s="51"/>
      <c r="I49" s="55"/>
      <c r="N49" s="56"/>
    </row>
    <row r="50" spans="1:14" x14ac:dyDescent="0.3">
      <c r="I50" s="55"/>
      <c r="N50" s="56"/>
    </row>
    <row r="51" spans="1:14" x14ac:dyDescent="0.3">
      <c r="A51" s="8" t="s">
        <v>294</v>
      </c>
      <c r="B51" s="51"/>
      <c r="C51" s="52"/>
      <c r="D51" s="51"/>
      <c r="E51" s="51"/>
      <c r="F51" s="51"/>
      <c r="I51" s="55"/>
      <c r="N51" s="56"/>
    </row>
    <row r="52" spans="1:14" x14ac:dyDescent="0.3">
      <c r="I52" s="55"/>
      <c r="N52" s="56"/>
    </row>
    <row r="53" spans="1:14" x14ac:dyDescent="0.3">
      <c r="A53" s="8" t="s">
        <v>295</v>
      </c>
      <c r="B53" s="51"/>
      <c r="C53" s="52"/>
      <c r="D53" s="51"/>
      <c r="E53" s="51"/>
      <c r="F53" s="51"/>
      <c r="I53" s="55"/>
      <c r="N53" s="56"/>
    </row>
    <row r="54" spans="1:14" x14ac:dyDescent="0.3">
      <c r="I54" s="55"/>
      <c r="N54" s="56"/>
    </row>
    <row r="55" spans="1:14" x14ac:dyDescent="0.3">
      <c r="A55" s="8" t="s">
        <v>296</v>
      </c>
      <c r="B55" s="8" t="s">
        <v>297</v>
      </c>
      <c r="I55" s="55"/>
      <c r="N55" s="56"/>
    </row>
    <row r="56" spans="1:14" x14ac:dyDescent="0.3">
      <c r="I56" s="55"/>
      <c r="N56" s="56"/>
    </row>
    <row r="57" spans="1:14" x14ac:dyDescent="0.3">
      <c r="I57" s="57"/>
      <c r="J57" s="51"/>
      <c r="K57" s="51"/>
      <c r="L57" s="51"/>
      <c r="M57" s="51"/>
      <c r="N57" s="58"/>
    </row>
  </sheetData>
  <sheetProtection algorithmName="SHA-512" hashValue="qsO1qBH17P9b2znfX5cy2fn0eutHr4+zmwQU438PMa07YiOneImGaDTjirAYTMdFouOep1nRvYz6ZRMzqGniJA==" saltValue="ku9p3GdwLQqy+jucDRUg6Q==" spinCount="100000" sheet="1" objects="1" scenarios="1"/>
  <mergeCells count="24">
    <mergeCell ref="F3:G3"/>
    <mergeCell ref="F4:G4"/>
    <mergeCell ref="B6:C6"/>
    <mergeCell ref="I9:J9"/>
    <mergeCell ref="K9:L9"/>
    <mergeCell ref="B7:C7"/>
    <mergeCell ref="B4:C4"/>
    <mergeCell ref="B5:C5"/>
    <mergeCell ref="A1:N1"/>
    <mergeCell ref="A43:F43"/>
    <mergeCell ref="B8:D8"/>
    <mergeCell ref="B9:D9"/>
    <mergeCell ref="F8:G8"/>
    <mergeCell ref="F9:G9"/>
    <mergeCell ref="D12:G12"/>
    <mergeCell ref="A12:C12"/>
    <mergeCell ref="I12:N12"/>
    <mergeCell ref="B2:D2"/>
    <mergeCell ref="I43:M43"/>
    <mergeCell ref="F6:G6"/>
    <mergeCell ref="F7:G7"/>
    <mergeCell ref="F5:G5"/>
    <mergeCell ref="B3:D3"/>
    <mergeCell ref="I3:J3"/>
  </mergeCells>
  <dataValidations count="7">
    <dataValidation type="list" allowBlank="1" showInputMessage="1" showErrorMessage="1" sqref="B7:C7" xr:uid="{00000000-0002-0000-0000-000000000000}">
      <formula1>DEPT</formula1>
    </dataValidation>
    <dataValidation type="list" allowBlank="1" showInputMessage="1" showErrorMessage="1" sqref="B4" xr:uid="{00000000-0002-0000-0000-000001000000}">
      <formula1>REP</formula1>
    </dataValidation>
    <dataValidation type="list" allowBlank="1" showInputMessage="1" showErrorMessage="1" sqref="B6:C6" xr:uid="{00000000-0002-0000-0000-000002000000}">
      <formula1>Branchcode</formula1>
    </dataValidation>
    <dataValidation type="list" allowBlank="1" showInputMessage="1" showErrorMessage="1" sqref="B5" xr:uid="{00000000-0002-0000-0000-000003000000}">
      <formula1>Modeofshipment</formula1>
    </dataValidation>
    <dataValidation type="list" allowBlank="1" showInputMessage="1" showErrorMessage="1" sqref="B14:B42 I14:I42" xr:uid="{00000000-0002-0000-0000-000004000000}">
      <formula1>exrates</formula1>
    </dataValidation>
    <dataValidation type="date" operator="greaterThan" allowBlank="1" showInputMessage="1" showErrorMessage="1" sqref="B2" xr:uid="{00000000-0002-0000-0000-000005000000}">
      <formula1>43647</formula1>
    </dataValidation>
    <dataValidation type="list" allowBlank="1" showInputMessage="1" showErrorMessage="1" sqref="F7:G7" xr:uid="{00000000-0002-0000-0000-000006000000}">
      <formula1>Incoterms</formula1>
    </dataValidation>
  </dataValidations>
  <printOptions horizontalCentered="1"/>
  <pageMargins left="0.39370078740157483" right="0.27559055118110237" top="0.74803149606299213" bottom="0.74803149606299213" header="0.31496062992125984" footer="0.31496062992125984"/>
  <pageSetup paperSize="9" scale="54" orientation="portrait" r:id="rId1"/>
  <headerFooter>
    <oddHeader>&amp;C&amp;G</oddHeader>
    <oddFooter xml:space="preserve">&amp;R
</oddFoot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4"/>
  <sheetViews>
    <sheetView topLeftCell="D1" workbookViewId="0">
      <selection activeCell="N10" sqref="N10"/>
    </sheetView>
  </sheetViews>
  <sheetFormatPr defaultColWidth="9.140625" defaultRowHeight="15" x14ac:dyDescent="0.25"/>
  <cols>
    <col min="1" max="1" width="25.140625" style="2" customWidth="1"/>
    <col min="2" max="2" width="7.5703125" style="2" customWidth="1"/>
    <col min="3" max="3" width="8.85546875"/>
    <col min="4" max="4" width="14.140625" style="2" customWidth="1"/>
    <col min="5" max="5" width="29.140625" style="2" bestFit="1" customWidth="1"/>
    <col min="6" max="6" width="8.85546875" style="2" bestFit="1" customWidth="1"/>
    <col min="7" max="7" width="10.7109375" style="2" customWidth="1"/>
    <col min="8" max="8" width="15.5703125" customWidth="1"/>
    <col min="9" max="9" width="20.140625" style="2" bestFit="1" customWidth="1"/>
    <col min="10" max="10" width="9.140625" style="2"/>
    <col min="11" max="11" width="8.85546875"/>
    <col min="12" max="12" width="19.7109375" style="2" customWidth="1"/>
    <col min="13" max="13" width="16.42578125" style="2" bestFit="1" customWidth="1"/>
    <col min="14" max="14" width="19" style="2" customWidth="1"/>
    <col min="15" max="15" width="14.85546875" style="2" customWidth="1"/>
    <col min="16" max="16384" width="9.140625" style="2"/>
  </cols>
  <sheetData>
    <row r="1" spans="1:14" ht="12.75" x14ac:dyDescent="0.2">
      <c r="A1" s="1" t="s">
        <v>10</v>
      </c>
      <c r="B1" s="1" t="s">
        <v>9</v>
      </c>
      <c r="C1" s="2"/>
      <c r="E1" s="2" t="s">
        <v>11</v>
      </c>
      <c r="F1" s="2" t="s">
        <v>12</v>
      </c>
      <c r="H1" s="3" t="s">
        <v>228</v>
      </c>
      <c r="I1" s="3" t="s">
        <v>230</v>
      </c>
      <c r="K1" s="3" t="s">
        <v>229</v>
      </c>
      <c r="L1" s="3" t="s">
        <v>259</v>
      </c>
      <c r="N1" s="2" t="s">
        <v>276</v>
      </c>
    </row>
    <row r="2" spans="1:14" ht="12.75" x14ac:dyDescent="0.2">
      <c r="A2" s="3" t="s">
        <v>14</v>
      </c>
      <c r="B2" s="3" t="s">
        <v>13</v>
      </c>
      <c r="C2" s="2"/>
      <c r="E2" s="3" t="s">
        <v>242</v>
      </c>
      <c r="F2" s="2" t="s">
        <v>15</v>
      </c>
      <c r="H2" s="3" t="s">
        <v>258</v>
      </c>
      <c r="I2" s="3" t="s">
        <v>231</v>
      </c>
      <c r="K2" s="3" t="s">
        <v>260</v>
      </c>
      <c r="L2" s="3" t="s">
        <v>261</v>
      </c>
      <c r="N2" s="2" t="s">
        <v>277</v>
      </c>
    </row>
    <row r="3" spans="1:14" ht="12.75" x14ac:dyDescent="0.2">
      <c r="A3" s="3" t="s">
        <v>35</v>
      </c>
      <c r="B3" s="3" t="s">
        <v>34</v>
      </c>
      <c r="C3" s="2"/>
      <c r="E3" s="3" t="s">
        <v>243</v>
      </c>
      <c r="F3" s="2" t="s">
        <v>18</v>
      </c>
      <c r="H3" s="3" t="s">
        <v>256</v>
      </c>
      <c r="I3" s="3" t="s">
        <v>232</v>
      </c>
      <c r="K3" s="3" t="s">
        <v>262</v>
      </c>
      <c r="L3" s="3" t="s">
        <v>263</v>
      </c>
      <c r="N3" s="2" t="s">
        <v>278</v>
      </c>
    </row>
    <row r="4" spans="1:14" ht="12.75" x14ac:dyDescent="0.2">
      <c r="A4" s="3" t="s">
        <v>39</v>
      </c>
      <c r="B4" s="3" t="s">
        <v>38</v>
      </c>
      <c r="C4" s="2"/>
      <c r="E4" s="3" t="s">
        <v>244</v>
      </c>
      <c r="F4" s="2" t="s">
        <v>19</v>
      </c>
      <c r="H4" s="3" t="s">
        <v>257</v>
      </c>
      <c r="I4" s="3" t="s">
        <v>233</v>
      </c>
      <c r="K4" s="3" t="s">
        <v>264</v>
      </c>
      <c r="L4" s="3" t="s">
        <v>265</v>
      </c>
      <c r="N4" s="2" t="s">
        <v>279</v>
      </c>
    </row>
    <row r="5" spans="1:14" ht="12.75" x14ac:dyDescent="0.2">
      <c r="A5" s="3" t="s">
        <v>41</v>
      </c>
      <c r="B5" s="4" t="s">
        <v>40</v>
      </c>
      <c r="C5" s="2"/>
      <c r="E5" s="3" t="s">
        <v>245</v>
      </c>
      <c r="F5" s="2" t="s">
        <v>20</v>
      </c>
      <c r="H5" s="3" t="s">
        <v>235</v>
      </c>
      <c r="I5" s="3" t="s">
        <v>234</v>
      </c>
      <c r="K5" s="3" t="s">
        <v>24</v>
      </c>
      <c r="L5" s="3" t="s">
        <v>266</v>
      </c>
      <c r="N5" s="2" t="s">
        <v>280</v>
      </c>
    </row>
    <row r="6" spans="1:14" ht="12.75" x14ac:dyDescent="0.2">
      <c r="A6" s="3" t="s">
        <v>43</v>
      </c>
      <c r="B6" s="3" t="s">
        <v>42</v>
      </c>
      <c r="C6" s="2"/>
      <c r="E6" s="3" t="s">
        <v>246</v>
      </c>
      <c r="F6" s="2" t="s">
        <v>23</v>
      </c>
      <c r="H6" s="3" t="s">
        <v>237</v>
      </c>
      <c r="I6" s="3" t="s">
        <v>236</v>
      </c>
      <c r="K6" s="3" t="s">
        <v>32</v>
      </c>
      <c r="L6" s="3" t="s">
        <v>267</v>
      </c>
      <c r="N6" s="2" t="s">
        <v>281</v>
      </c>
    </row>
    <row r="7" spans="1:14" x14ac:dyDescent="0.25">
      <c r="A7" s="2" t="s">
        <v>47</v>
      </c>
      <c r="B7" s="2" t="s">
        <v>46</v>
      </c>
      <c r="C7" s="2"/>
      <c r="E7" s="3" t="s">
        <v>247</v>
      </c>
      <c r="F7" s="2" t="s">
        <v>27</v>
      </c>
      <c r="H7" s="2"/>
      <c r="J7"/>
      <c r="K7" s="2"/>
      <c r="N7" s="2" t="s">
        <v>282</v>
      </c>
    </row>
    <row r="8" spans="1:14" x14ac:dyDescent="0.25">
      <c r="A8" s="2" t="s">
        <v>51</v>
      </c>
      <c r="B8" s="2" t="s">
        <v>50</v>
      </c>
      <c r="C8" s="2"/>
      <c r="E8" s="3" t="s">
        <v>248</v>
      </c>
      <c r="F8" s="2" t="s">
        <v>28</v>
      </c>
      <c r="H8" s="2"/>
      <c r="J8"/>
      <c r="K8" s="2"/>
      <c r="N8" s="2" t="s">
        <v>299</v>
      </c>
    </row>
    <row r="9" spans="1:14" x14ac:dyDescent="0.25">
      <c r="A9" s="2" t="s">
        <v>53</v>
      </c>
      <c r="B9" s="2" t="s">
        <v>52</v>
      </c>
      <c r="C9" s="2"/>
      <c r="E9" s="3" t="s">
        <v>249</v>
      </c>
      <c r="F9" s="2" t="s">
        <v>29</v>
      </c>
      <c r="H9" s="2"/>
      <c r="J9"/>
      <c r="K9" s="2"/>
      <c r="N9" s="2" t="s">
        <v>300</v>
      </c>
    </row>
    <row r="10" spans="1:14" x14ac:dyDescent="0.25">
      <c r="A10" s="2" t="s">
        <v>55</v>
      </c>
      <c r="B10" s="2" t="s">
        <v>54</v>
      </c>
      <c r="C10" s="2"/>
      <c r="E10" s="3" t="s">
        <v>250</v>
      </c>
      <c r="F10" s="2" t="s">
        <v>30</v>
      </c>
      <c r="H10" s="2"/>
      <c r="J10"/>
      <c r="K10" s="2"/>
    </row>
    <row r="11" spans="1:14" x14ac:dyDescent="0.25">
      <c r="A11" s="2" t="s">
        <v>57</v>
      </c>
      <c r="B11" s="2" t="s">
        <v>56</v>
      </c>
      <c r="C11" s="2"/>
      <c r="E11" s="3" t="s">
        <v>251</v>
      </c>
      <c r="F11" s="2" t="s">
        <v>31</v>
      </c>
      <c r="H11" s="2"/>
      <c r="J11"/>
      <c r="K11" s="2"/>
    </row>
    <row r="12" spans="1:14" x14ac:dyDescent="0.25">
      <c r="A12" s="2" t="s">
        <v>59</v>
      </c>
      <c r="B12" s="2" t="s">
        <v>58</v>
      </c>
      <c r="C12" s="2"/>
      <c r="E12" s="3" t="s">
        <v>252</v>
      </c>
      <c r="F12" s="2" t="s">
        <v>33</v>
      </c>
      <c r="H12" s="2"/>
      <c r="J12"/>
      <c r="K12" s="2"/>
    </row>
    <row r="13" spans="1:14" x14ac:dyDescent="0.25">
      <c r="A13" s="2" t="s">
        <v>61</v>
      </c>
      <c r="B13" s="2" t="s">
        <v>60</v>
      </c>
      <c r="C13" s="2"/>
      <c r="G13"/>
      <c r="H13" s="2"/>
      <c r="J13"/>
      <c r="K13" s="2"/>
    </row>
    <row r="14" spans="1:14" x14ac:dyDescent="0.25">
      <c r="A14" s="2" t="s">
        <v>63</v>
      </c>
      <c r="B14" s="2" t="s">
        <v>62</v>
      </c>
      <c r="C14" s="2"/>
      <c r="G14"/>
      <c r="H14" s="2"/>
      <c r="J14"/>
      <c r="K14" s="2"/>
    </row>
    <row r="15" spans="1:14" x14ac:dyDescent="0.25">
      <c r="A15" s="2" t="s">
        <v>67</v>
      </c>
      <c r="B15" s="2" t="s">
        <v>66</v>
      </c>
      <c r="C15" s="2"/>
      <c r="F15" s="5"/>
      <c r="G15"/>
      <c r="H15" s="6"/>
      <c r="J15"/>
      <c r="K15" s="2"/>
    </row>
    <row r="16" spans="1:14" x14ac:dyDescent="0.25">
      <c r="A16" s="2" t="s">
        <v>69</v>
      </c>
      <c r="B16" s="2" t="s">
        <v>68</v>
      </c>
      <c r="C16" s="2"/>
      <c r="G16"/>
      <c r="H16" s="6"/>
      <c r="J16"/>
      <c r="K16" s="2"/>
    </row>
    <row r="17" spans="1:11" x14ac:dyDescent="0.25">
      <c r="A17" s="2" t="s">
        <v>71</v>
      </c>
      <c r="B17" s="7" t="s">
        <v>70</v>
      </c>
      <c r="C17" s="2"/>
      <c r="G17"/>
      <c r="H17" s="6"/>
      <c r="J17"/>
      <c r="K17" s="2"/>
    </row>
    <row r="18" spans="1:11" x14ac:dyDescent="0.25">
      <c r="A18" s="2" t="s">
        <v>49</v>
      </c>
      <c r="B18" s="2" t="s">
        <v>72</v>
      </c>
      <c r="C18" s="2"/>
      <c r="G18"/>
      <c r="H18" s="6"/>
      <c r="J18"/>
      <c r="K18" s="2"/>
    </row>
    <row r="19" spans="1:11" x14ac:dyDescent="0.25">
      <c r="A19" s="2" t="s">
        <v>74</v>
      </c>
      <c r="B19" s="7" t="s">
        <v>73</v>
      </c>
      <c r="C19" s="2"/>
      <c r="G19"/>
      <c r="H19" s="6"/>
      <c r="J19"/>
      <c r="K19" s="2"/>
    </row>
    <row r="20" spans="1:11" x14ac:dyDescent="0.25">
      <c r="A20" s="2" t="s">
        <v>76</v>
      </c>
      <c r="B20" s="2" t="s">
        <v>75</v>
      </c>
      <c r="C20" s="2"/>
      <c r="G20"/>
      <c r="H20" s="2"/>
      <c r="J20"/>
      <c r="K20" s="2"/>
    </row>
    <row r="21" spans="1:11" x14ac:dyDescent="0.25">
      <c r="A21" s="2" t="s">
        <v>78</v>
      </c>
      <c r="B21" s="2" t="s">
        <v>77</v>
      </c>
      <c r="C21" s="2"/>
      <c r="G21"/>
      <c r="H21" s="2"/>
      <c r="J21"/>
      <c r="K21" s="2"/>
    </row>
    <row r="22" spans="1:11" x14ac:dyDescent="0.25">
      <c r="A22" s="2" t="s">
        <v>80</v>
      </c>
      <c r="B22" s="2" t="s">
        <v>79</v>
      </c>
      <c r="C22" s="2"/>
      <c r="G22"/>
      <c r="H22" s="2"/>
      <c r="J22"/>
      <c r="K22" s="2"/>
    </row>
    <row r="23" spans="1:11" x14ac:dyDescent="0.25">
      <c r="A23" s="2" t="s">
        <v>82</v>
      </c>
      <c r="B23" s="2" t="s">
        <v>81</v>
      </c>
      <c r="C23" s="2"/>
      <c r="G23"/>
      <c r="H23" s="2"/>
      <c r="J23"/>
      <c r="K23" s="2"/>
    </row>
    <row r="24" spans="1:11" x14ac:dyDescent="0.25">
      <c r="A24" s="2" t="s">
        <v>84</v>
      </c>
      <c r="B24" s="2" t="s">
        <v>83</v>
      </c>
      <c r="C24" s="2"/>
      <c r="G24"/>
      <c r="H24" s="2"/>
      <c r="J24"/>
      <c r="K24" s="2"/>
    </row>
    <row r="25" spans="1:11" x14ac:dyDescent="0.25">
      <c r="A25" s="2" t="s">
        <v>86</v>
      </c>
      <c r="B25" s="2" t="s">
        <v>85</v>
      </c>
      <c r="C25" s="2"/>
      <c r="G25"/>
      <c r="H25" s="2"/>
      <c r="J25"/>
      <c r="K25" s="2"/>
    </row>
    <row r="26" spans="1:11" x14ac:dyDescent="0.25">
      <c r="A26" s="2" t="s">
        <v>88</v>
      </c>
      <c r="B26" s="2" t="s">
        <v>87</v>
      </c>
      <c r="C26" s="2"/>
      <c r="G26"/>
      <c r="H26" s="2"/>
      <c r="J26"/>
      <c r="K26" s="2"/>
    </row>
    <row r="27" spans="1:11" x14ac:dyDescent="0.25">
      <c r="A27" s="2" t="s">
        <v>90</v>
      </c>
      <c r="B27" s="2" t="s">
        <v>89</v>
      </c>
      <c r="C27" s="2"/>
      <c r="G27"/>
      <c r="H27" s="2"/>
      <c r="J27"/>
      <c r="K27" s="2"/>
    </row>
    <row r="28" spans="1:11" x14ac:dyDescent="0.25">
      <c r="A28" s="2" t="s">
        <v>92</v>
      </c>
      <c r="B28" s="2" t="s">
        <v>91</v>
      </c>
      <c r="C28" s="2"/>
      <c r="G28"/>
      <c r="H28" s="2"/>
      <c r="J28"/>
      <c r="K28" s="2"/>
    </row>
    <row r="29" spans="1:11" x14ac:dyDescent="0.25">
      <c r="A29" s="2" t="s">
        <v>94</v>
      </c>
      <c r="B29" s="2" t="s">
        <v>93</v>
      </c>
      <c r="C29" s="2"/>
      <c r="G29"/>
      <c r="H29" s="2"/>
      <c r="J29"/>
      <c r="K29" s="2"/>
    </row>
    <row r="30" spans="1:11" x14ac:dyDescent="0.25">
      <c r="A30" s="2" t="s">
        <v>96</v>
      </c>
      <c r="B30" s="2" t="s">
        <v>95</v>
      </c>
      <c r="C30" s="2"/>
      <c r="G30"/>
      <c r="H30" s="2"/>
      <c r="J30"/>
      <c r="K30" s="2"/>
    </row>
    <row r="31" spans="1:11" x14ac:dyDescent="0.25">
      <c r="A31" s="2" t="s">
        <v>98</v>
      </c>
      <c r="B31" s="2" t="s">
        <v>97</v>
      </c>
      <c r="C31" s="2"/>
      <c r="G31"/>
      <c r="H31" s="2"/>
      <c r="J31"/>
      <c r="K31" s="2"/>
    </row>
    <row r="32" spans="1:11" x14ac:dyDescent="0.25">
      <c r="A32" s="2" t="s">
        <v>100</v>
      </c>
      <c r="B32" s="2" t="s">
        <v>99</v>
      </c>
      <c r="C32" s="2"/>
      <c r="G32"/>
      <c r="H32" s="2"/>
      <c r="J32"/>
      <c r="K32" s="2"/>
    </row>
    <row r="33" spans="1:11" x14ac:dyDescent="0.25">
      <c r="A33" s="2" t="s">
        <v>102</v>
      </c>
      <c r="B33" s="2" t="s">
        <v>101</v>
      </c>
      <c r="C33" s="2"/>
      <c r="G33"/>
      <c r="H33" s="2"/>
      <c r="J33"/>
      <c r="K33" s="2"/>
    </row>
    <row r="34" spans="1:11" x14ac:dyDescent="0.25">
      <c r="A34" s="2" t="s">
        <v>104</v>
      </c>
      <c r="B34" s="2" t="s">
        <v>103</v>
      </c>
      <c r="C34" s="2"/>
      <c r="G34"/>
      <c r="H34" s="2"/>
      <c r="J34"/>
      <c r="K34" s="2"/>
    </row>
    <row r="35" spans="1:11" x14ac:dyDescent="0.25">
      <c r="A35" s="2" t="s">
        <v>106</v>
      </c>
      <c r="B35" s="2" t="s">
        <v>105</v>
      </c>
      <c r="C35" s="2"/>
      <c r="G35"/>
      <c r="H35" s="2"/>
      <c r="J35"/>
      <c r="K35" s="2"/>
    </row>
    <row r="36" spans="1:11" x14ac:dyDescent="0.25">
      <c r="A36" s="2" t="s">
        <v>49</v>
      </c>
      <c r="B36" s="7" t="s">
        <v>48</v>
      </c>
      <c r="C36" s="2"/>
      <c r="G36"/>
      <c r="H36" s="2"/>
      <c r="J36"/>
      <c r="K36" s="2"/>
    </row>
    <row r="37" spans="1:11" x14ac:dyDescent="0.25">
      <c r="A37" s="2" t="s">
        <v>108</v>
      </c>
      <c r="B37" s="2" t="s">
        <v>107</v>
      </c>
      <c r="C37" s="2"/>
      <c r="G37"/>
      <c r="H37" s="2"/>
      <c r="J37"/>
      <c r="K37" s="2"/>
    </row>
    <row r="38" spans="1:11" x14ac:dyDescent="0.25">
      <c r="A38" s="2" t="s">
        <v>110</v>
      </c>
      <c r="B38" s="2" t="s">
        <v>109</v>
      </c>
      <c r="C38" s="2"/>
      <c r="G38"/>
      <c r="H38" s="2"/>
      <c r="J38"/>
      <c r="K38" s="2"/>
    </row>
    <row r="39" spans="1:11" x14ac:dyDescent="0.25">
      <c r="A39" s="2" t="s">
        <v>112</v>
      </c>
      <c r="B39" s="7" t="s">
        <v>111</v>
      </c>
      <c r="C39" s="2"/>
      <c r="G39"/>
      <c r="H39" s="2"/>
      <c r="J39"/>
      <c r="K39" s="2"/>
    </row>
    <row r="40" spans="1:11" x14ac:dyDescent="0.25">
      <c r="A40" s="2" t="s">
        <v>114</v>
      </c>
      <c r="B40" s="7" t="s">
        <v>113</v>
      </c>
      <c r="C40" s="2"/>
      <c r="G40"/>
      <c r="H40" s="2"/>
      <c r="J40"/>
      <c r="K40" s="2"/>
    </row>
    <row r="41" spans="1:11" x14ac:dyDescent="0.25">
      <c r="A41" s="2" t="s">
        <v>116</v>
      </c>
      <c r="B41" s="7" t="s">
        <v>115</v>
      </c>
      <c r="C41" s="2"/>
      <c r="G41"/>
      <c r="H41" s="2"/>
      <c r="J41"/>
      <c r="K41" s="2"/>
    </row>
    <row r="42" spans="1:11" x14ac:dyDescent="0.25">
      <c r="A42" s="2" t="s">
        <v>118</v>
      </c>
      <c r="B42" s="7" t="s">
        <v>117</v>
      </c>
      <c r="C42" s="2"/>
      <c r="G42"/>
      <c r="H42" s="2"/>
      <c r="J42"/>
      <c r="K42" s="2"/>
    </row>
    <row r="43" spans="1:11" x14ac:dyDescent="0.25">
      <c r="A43" s="2" t="s">
        <v>120</v>
      </c>
      <c r="B43" s="2" t="s">
        <v>119</v>
      </c>
      <c r="C43" s="2"/>
      <c r="G43"/>
      <c r="H43" s="2"/>
      <c r="J43"/>
      <c r="K43" s="2"/>
    </row>
    <row r="44" spans="1:11" x14ac:dyDescent="0.25">
      <c r="A44" s="2" t="s">
        <v>122</v>
      </c>
      <c r="B44" s="2" t="s">
        <v>121</v>
      </c>
      <c r="C44" s="2"/>
      <c r="G44"/>
      <c r="H44" s="2"/>
      <c r="J44"/>
      <c r="K44" s="2"/>
    </row>
    <row r="45" spans="1:11" x14ac:dyDescent="0.25">
      <c r="A45" s="2" t="s">
        <v>124</v>
      </c>
      <c r="B45" s="7" t="s">
        <v>123</v>
      </c>
      <c r="C45" s="2"/>
      <c r="G45"/>
      <c r="H45" s="2"/>
      <c r="J45"/>
      <c r="K45" s="2"/>
    </row>
    <row r="46" spans="1:11" x14ac:dyDescent="0.25">
      <c r="A46" s="2" t="s">
        <v>126</v>
      </c>
      <c r="B46" s="2" t="s">
        <v>125</v>
      </c>
      <c r="C46" s="2"/>
      <c r="G46"/>
      <c r="H46" s="2"/>
      <c r="J46"/>
      <c r="K46" s="2"/>
    </row>
    <row r="47" spans="1:11" x14ac:dyDescent="0.25">
      <c r="A47" s="2" t="s">
        <v>65</v>
      </c>
      <c r="B47" s="7" t="s">
        <v>64</v>
      </c>
      <c r="C47" s="2"/>
      <c r="G47"/>
      <c r="H47" s="2"/>
      <c r="J47"/>
      <c r="K47" s="2"/>
    </row>
    <row r="48" spans="1:11" x14ac:dyDescent="0.25">
      <c r="A48" s="2" t="s">
        <v>45</v>
      </c>
      <c r="B48" s="7" t="s">
        <v>44</v>
      </c>
      <c r="C48" s="2"/>
      <c r="G48"/>
      <c r="H48" s="2"/>
      <c r="J48"/>
      <c r="K48" s="2"/>
    </row>
    <row r="49" spans="1:11" x14ac:dyDescent="0.25">
      <c r="A49" s="2" t="s">
        <v>128</v>
      </c>
      <c r="B49" s="2" t="s">
        <v>127</v>
      </c>
      <c r="C49" s="2"/>
      <c r="G49"/>
      <c r="H49" s="2"/>
      <c r="J49"/>
      <c r="K49" s="2"/>
    </row>
    <row r="50" spans="1:11" x14ac:dyDescent="0.25">
      <c r="A50" s="2" t="s">
        <v>130</v>
      </c>
      <c r="B50" s="7" t="s">
        <v>129</v>
      </c>
      <c r="C50" s="2"/>
      <c r="G50"/>
      <c r="H50" s="2"/>
      <c r="J50"/>
      <c r="K50" s="2"/>
    </row>
    <row r="51" spans="1:11" x14ac:dyDescent="0.25">
      <c r="A51" s="2" t="s">
        <v>132</v>
      </c>
      <c r="B51" s="2" t="s">
        <v>131</v>
      </c>
      <c r="C51" s="2"/>
      <c r="G51"/>
      <c r="H51" s="2"/>
      <c r="J51"/>
      <c r="K51" s="2"/>
    </row>
    <row r="52" spans="1:11" x14ac:dyDescent="0.25">
      <c r="A52" s="2" t="s">
        <v>134</v>
      </c>
      <c r="B52" s="2" t="s">
        <v>133</v>
      </c>
      <c r="C52" s="2"/>
      <c r="G52"/>
      <c r="H52" s="2"/>
      <c r="J52"/>
      <c r="K52" s="2"/>
    </row>
    <row r="53" spans="1:11" x14ac:dyDescent="0.25">
      <c r="A53" s="2" t="s">
        <v>136</v>
      </c>
      <c r="B53" s="2" t="s">
        <v>135</v>
      </c>
      <c r="C53" s="2"/>
      <c r="G53"/>
      <c r="H53" s="2"/>
      <c r="J53"/>
      <c r="K53" s="2"/>
    </row>
    <row r="54" spans="1:11" x14ac:dyDescent="0.25">
      <c r="A54" s="2" t="s">
        <v>138</v>
      </c>
      <c r="B54" s="2" t="s">
        <v>137</v>
      </c>
      <c r="C54" s="2"/>
      <c r="G54"/>
      <c r="H54" s="2"/>
      <c r="J54"/>
      <c r="K54" s="2"/>
    </row>
    <row r="55" spans="1:11" x14ac:dyDescent="0.25">
      <c r="A55" s="2" t="s">
        <v>140</v>
      </c>
      <c r="B55" s="2" t="s">
        <v>139</v>
      </c>
      <c r="C55" s="2"/>
      <c r="G55"/>
      <c r="H55" s="2"/>
      <c r="J55"/>
      <c r="K55" s="2"/>
    </row>
    <row r="56" spans="1:11" x14ac:dyDescent="0.25">
      <c r="A56" s="2" t="s">
        <v>142</v>
      </c>
      <c r="B56" s="2" t="s">
        <v>141</v>
      </c>
      <c r="C56" s="2"/>
      <c r="G56"/>
      <c r="H56" s="2"/>
      <c r="J56"/>
      <c r="K56" s="2"/>
    </row>
    <row r="57" spans="1:11" x14ac:dyDescent="0.25">
      <c r="A57" s="2" t="s">
        <v>144</v>
      </c>
      <c r="B57" s="2" t="s">
        <v>143</v>
      </c>
      <c r="C57" s="2"/>
      <c r="G57"/>
      <c r="H57" s="2"/>
      <c r="J57"/>
      <c r="K57" s="2"/>
    </row>
    <row r="58" spans="1:11" x14ac:dyDescent="0.25">
      <c r="A58" s="2" t="s">
        <v>17</v>
      </c>
      <c r="B58" s="7" t="s">
        <v>16</v>
      </c>
      <c r="C58" s="2"/>
      <c r="G58"/>
      <c r="H58" s="2"/>
      <c r="J58"/>
      <c r="K58" s="2"/>
    </row>
    <row r="59" spans="1:11" x14ac:dyDescent="0.25">
      <c r="A59" s="2" t="s">
        <v>146</v>
      </c>
      <c r="B59" s="2" t="s">
        <v>145</v>
      </c>
      <c r="C59" s="2"/>
      <c r="G59"/>
      <c r="H59" s="2"/>
      <c r="J59"/>
      <c r="K59" s="2"/>
    </row>
    <row r="60" spans="1:11" x14ac:dyDescent="0.25">
      <c r="A60" s="2" t="s">
        <v>148</v>
      </c>
      <c r="B60" s="2" t="s">
        <v>147</v>
      </c>
      <c r="C60" s="2"/>
      <c r="G60"/>
      <c r="H60" s="2"/>
      <c r="J60"/>
      <c r="K60" s="2"/>
    </row>
    <row r="61" spans="1:11" x14ac:dyDescent="0.25">
      <c r="A61" s="2" t="s">
        <v>150</v>
      </c>
      <c r="B61" s="2" t="s">
        <v>149</v>
      </c>
      <c r="C61" s="2"/>
      <c r="G61"/>
      <c r="H61" s="2"/>
      <c r="J61"/>
      <c r="K61" s="2"/>
    </row>
    <row r="62" spans="1:11" x14ac:dyDescent="0.25">
      <c r="A62" s="2" t="s">
        <v>152</v>
      </c>
      <c r="B62" s="2" t="s">
        <v>151</v>
      </c>
      <c r="C62" s="2"/>
      <c r="G62"/>
      <c r="H62" s="2"/>
      <c r="J62"/>
      <c r="K62" s="2"/>
    </row>
    <row r="63" spans="1:11" x14ac:dyDescent="0.25">
      <c r="A63" s="2" t="s">
        <v>154</v>
      </c>
      <c r="B63" s="2" t="s">
        <v>153</v>
      </c>
      <c r="C63" s="2"/>
      <c r="G63"/>
      <c r="H63" s="2"/>
      <c r="J63"/>
      <c r="K63" s="2"/>
    </row>
    <row r="64" spans="1:11" x14ac:dyDescent="0.25">
      <c r="A64" s="2" t="s">
        <v>155</v>
      </c>
      <c r="B64" s="2" t="s">
        <v>18</v>
      </c>
      <c r="C64" s="2"/>
      <c r="G64"/>
      <c r="H64" s="2"/>
      <c r="J64"/>
      <c r="K64" s="2"/>
    </row>
    <row r="65" spans="1:11" x14ac:dyDescent="0.25">
      <c r="A65" s="2" t="s">
        <v>157</v>
      </c>
      <c r="B65" s="2" t="s">
        <v>156</v>
      </c>
      <c r="C65" s="2"/>
      <c r="G65"/>
      <c r="H65" s="2"/>
      <c r="J65"/>
      <c r="K65" s="2"/>
    </row>
    <row r="66" spans="1:11" x14ac:dyDescent="0.25">
      <c r="A66" s="2" t="s">
        <v>26</v>
      </c>
      <c r="B66" s="7" t="s">
        <v>25</v>
      </c>
      <c r="C66" s="2"/>
      <c r="G66"/>
      <c r="H66" s="2"/>
      <c r="J66"/>
      <c r="K66" s="2"/>
    </row>
    <row r="67" spans="1:11" x14ac:dyDescent="0.25">
      <c r="A67" s="2" t="s">
        <v>159</v>
      </c>
      <c r="B67" s="2" t="s">
        <v>158</v>
      </c>
      <c r="C67" s="2"/>
      <c r="G67"/>
      <c r="H67" s="2"/>
      <c r="J67"/>
      <c r="K67" s="2"/>
    </row>
    <row r="68" spans="1:11" x14ac:dyDescent="0.25">
      <c r="A68" s="2" t="s">
        <v>161</v>
      </c>
      <c r="B68" s="2" t="s">
        <v>160</v>
      </c>
      <c r="C68" s="2"/>
      <c r="G68"/>
      <c r="H68" s="2"/>
      <c r="J68"/>
      <c r="K68" s="2"/>
    </row>
    <row r="69" spans="1:11" x14ac:dyDescent="0.25">
      <c r="A69" s="2" t="s">
        <v>163</v>
      </c>
      <c r="B69" s="2" t="s">
        <v>162</v>
      </c>
      <c r="C69" s="2"/>
      <c r="G69"/>
      <c r="H69" s="2"/>
      <c r="J69"/>
      <c r="K69" s="2"/>
    </row>
    <row r="70" spans="1:11" x14ac:dyDescent="0.25">
      <c r="A70" s="2" t="s">
        <v>165</v>
      </c>
      <c r="B70" s="2" t="s">
        <v>164</v>
      </c>
      <c r="C70" s="2"/>
      <c r="G70"/>
      <c r="H70" s="2"/>
      <c r="J70"/>
      <c r="K70" s="2"/>
    </row>
    <row r="71" spans="1:11" x14ac:dyDescent="0.25">
      <c r="A71" s="2" t="s">
        <v>167</v>
      </c>
      <c r="B71" s="2" t="s">
        <v>166</v>
      </c>
      <c r="C71" s="2"/>
      <c r="G71"/>
      <c r="H71" s="2"/>
      <c r="J71"/>
      <c r="K71" s="2"/>
    </row>
    <row r="72" spans="1:11" x14ac:dyDescent="0.25">
      <c r="A72" s="2" t="s">
        <v>169</v>
      </c>
      <c r="B72" s="2" t="s">
        <v>168</v>
      </c>
      <c r="C72" s="2"/>
      <c r="G72"/>
      <c r="H72" s="2"/>
      <c r="J72"/>
      <c r="K72" s="2"/>
    </row>
    <row r="73" spans="1:11" x14ac:dyDescent="0.25">
      <c r="A73" s="2" t="s">
        <v>171</v>
      </c>
      <c r="B73" s="2" t="s">
        <v>170</v>
      </c>
      <c r="C73" s="2"/>
      <c r="G73"/>
      <c r="H73" s="2"/>
      <c r="J73"/>
      <c r="K73" s="2"/>
    </row>
    <row r="74" spans="1:11" x14ac:dyDescent="0.25">
      <c r="A74" s="2" t="s">
        <v>22</v>
      </c>
      <c r="B74" s="7" t="s">
        <v>21</v>
      </c>
      <c r="C74" s="2"/>
      <c r="G74"/>
      <c r="H74" s="2"/>
      <c r="J74"/>
      <c r="K74" s="2"/>
    </row>
    <row r="75" spans="1:11" x14ac:dyDescent="0.25">
      <c r="A75" s="2" t="s">
        <v>173</v>
      </c>
      <c r="B75" s="2" t="s">
        <v>172</v>
      </c>
      <c r="C75" s="2"/>
      <c r="G75"/>
      <c r="H75" s="2"/>
      <c r="J75"/>
      <c r="K75" s="2"/>
    </row>
    <row r="76" spans="1:11" x14ac:dyDescent="0.25">
      <c r="A76" s="2" t="s">
        <v>175</v>
      </c>
      <c r="B76" s="2" t="s">
        <v>174</v>
      </c>
      <c r="C76" s="2"/>
      <c r="G76"/>
      <c r="H76" s="2"/>
      <c r="J76"/>
      <c r="K76" s="2"/>
    </row>
    <row r="77" spans="1:11" x14ac:dyDescent="0.25">
      <c r="A77" s="2" t="s">
        <v>177</v>
      </c>
      <c r="B77" s="2" t="s">
        <v>176</v>
      </c>
      <c r="C77" s="2"/>
      <c r="G77"/>
      <c r="H77" s="2"/>
      <c r="J77"/>
      <c r="K77" s="2"/>
    </row>
    <row r="78" spans="1:11" x14ac:dyDescent="0.25">
      <c r="A78" s="2" t="s">
        <v>179</v>
      </c>
      <c r="B78" s="2" t="s">
        <v>178</v>
      </c>
      <c r="C78" s="2"/>
      <c r="G78"/>
      <c r="H78" s="2"/>
      <c r="J78"/>
      <c r="K78" s="2"/>
    </row>
    <row r="79" spans="1:11" x14ac:dyDescent="0.25">
      <c r="A79" s="2" t="s">
        <v>181</v>
      </c>
      <c r="B79" s="2" t="s">
        <v>180</v>
      </c>
      <c r="C79" s="2"/>
      <c r="G79"/>
      <c r="H79" s="2"/>
      <c r="J79"/>
      <c r="K79" s="2"/>
    </row>
    <row r="80" spans="1:11" x14ac:dyDescent="0.25">
      <c r="A80" s="2" t="s">
        <v>183</v>
      </c>
      <c r="B80" s="2" t="s">
        <v>182</v>
      </c>
      <c r="C80" s="2"/>
      <c r="G80"/>
      <c r="H80" s="2"/>
      <c r="J80"/>
      <c r="K80" s="2"/>
    </row>
    <row r="81" spans="1:11" x14ac:dyDescent="0.25">
      <c r="A81" s="2" t="s">
        <v>185</v>
      </c>
      <c r="B81" s="2" t="s">
        <v>184</v>
      </c>
      <c r="C81" s="2"/>
      <c r="G81"/>
      <c r="H81" s="2"/>
      <c r="J81"/>
      <c r="K81" s="2"/>
    </row>
    <row r="82" spans="1:11" x14ac:dyDescent="0.25">
      <c r="A82" s="2" t="s">
        <v>187</v>
      </c>
      <c r="B82" s="2" t="s">
        <v>186</v>
      </c>
      <c r="C82" s="2"/>
      <c r="G82"/>
      <c r="H82" s="2"/>
      <c r="J82"/>
      <c r="K82" s="2"/>
    </row>
    <row r="83" spans="1:11" x14ac:dyDescent="0.25">
      <c r="A83" s="2" t="s">
        <v>189</v>
      </c>
      <c r="B83" s="2" t="s">
        <v>188</v>
      </c>
      <c r="C83" s="2"/>
      <c r="G83"/>
      <c r="H83" s="2"/>
      <c r="J83"/>
      <c r="K83" s="2"/>
    </row>
    <row r="84" spans="1:11" x14ac:dyDescent="0.25">
      <c r="A84" s="2" t="s">
        <v>191</v>
      </c>
      <c r="B84" s="2" t="s">
        <v>190</v>
      </c>
      <c r="C84" s="2"/>
      <c r="G84"/>
      <c r="H84" s="2"/>
      <c r="J84"/>
      <c r="K84" s="2"/>
    </row>
    <row r="85" spans="1:11" x14ac:dyDescent="0.25">
      <c r="A85" s="2" t="s">
        <v>193</v>
      </c>
      <c r="B85" s="2" t="s">
        <v>192</v>
      </c>
      <c r="C85" s="2"/>
      <c r="G85"/>
      <c r="H85" s="2"/>
      <c r="J85"/>
      <c r="K85" s="2"/>
    </row>
    <row r="86" spans="1:11" x14ac:dyDescent="0.25">
      <c r="A86" s="2" t="s">
        <v>195</v>
      </c>
      <c r="B86" s="2" t="s">
        <v>194</v>
      </c>
      <c r="C86" s="2"/>
      <c r="G86"/>
      <c r="H86" s="2"/>
      <c r="J86"/>
      <c r="K86" s="2"/>
    </row>
    <row r="87" spans="1:11" x14ac:dyDescent="0.25">
      <c r="A87" s="2" t="s">
        <v>197</v>
      </c>
      <c r="B87" s="2" t="s">
        <v>196</v>
      </c>
      <c r="C87" s="2"/>
      <c r="G87"/>
      <c r="H87" s="2"/>
      <c r="J87"/>
      <c r="K87" s="2"/>
    </row>
    <row r="88" spans="1:11" x14ac:dyDescent="0.25">
      <c r="A88" s="2" t="s">
        <v>199</v>
      </c>
      <c r="B88" s="7" t="s">
        <v>198</v>
      </c>
      <c r="C88" s="2"/>
      <c r="G88"/>
      <c r="H88" s="2"/>
      <c r="J88"/>
      <c r="K88" s="2"/>
    </row>
    <row r="89" spans="1:11" x14ac:dyDescent="0.25">
      <c r="A89" s="2" t="s">
        <v>201</v>
      </c>
      <c r="B89" s="2" t="s">
        <v>200</v>
      </c>
      <c r="C89" s="2"/>
      <c r="G89"/>
      <c r="H89" s="2"/>
      <c r="J89"/>
      <c r="K89" s="2"/>
    </row>
    <row r="90" spans="1:11" x14ac:dyDescent="0.25">
      <c r="A90" s="2" t="s">
        <v>203</v>
      </c>
      <c r="B90" s="7" t="s">
        <v>202</v>
      </c>
      <c r="C90" s="2"/>
      <c r="G90"/>
      <c r="H90" s="2"/>
      <c r="J90"/>
      <c r="K90" s="2"/>
    </row>
    <row r="91" spans="1:11" x14ac:dyDescent="0.25">
      <c r="A91" s="2" t="s">
        <v>205</v>
      </c>
      <c r="B91" s="2" t="s">
        <v>204</v>
      </c>
      <c r="C91" s="2"/>
      <c r="G91"/>
      <c r="H91" s="2"/>
      <c r="J91"/>
      <c r="K91" s="2"/>
    </row>
    <row r="92" spans="1:11" x14ac:dyDescent="0.25">
      <c r="A92" s="2" t="s">
        <v>207</v>
      </c>
      <c r="B92" s="2" t="s">
        <v>206</v>
      </c>
      <c r="C92" s="2"/>
      <c r="G92"/>
      <c r="H92" s="2"/>
      <c r="J92"/>
      <c r="K92" s="2"/>
    </row>
    <row r="93" spans="1:11" x14ac:dyDescent="0.25">
      <c r="A93" s="2" t="s">
        <v>209</v>
      </c>
      <c r="B93" s="2" t="s">
        <v>208</v>
      </c>
      <c r="C93" s="2"/>
      <c r="G93"/>
      <c r="H93" s="2"/>
      <c r="J93"/>
      <c r="K93" s="2"/>
    </row>
    <row r="94" spans="1:11" x14ac:dyDescent="0.25">
      <c r="A94" s="2" t="s">
        <v>211</v>
      </c>
      <c r="B94" s="2" t="s">
        <v>210</v>
      </c>
      <c r="C94" s="2"/>
      <c r="G94"/>
      <c r="H94" s="2"/>
      <c r="J94"/>
      <c r="K94" s="2"/>
    </row>
    <row r="95" spans="1:11" x14ac:dyDescent="0.25">
      <c r="A95" s="2" t="s">
        <v>213</v>
      </c>
      <c r="B95" s="2" t="s">
        <v>212</v>
      </c>
      <c r="C95" s="2"/>
      <c r="G95"/>
      <c r="H95" s="2"/>
      <c r="J95"/>
      <c r="K95" s="2"/>
    </row>
    <row r="96" spans="1:11" x14ac:dyDescent="0.25">
      <c r="A96" s="2" t="s">
        <v>215</v>
      </c>
      <c r="B96" s="2" t="s">
        <v>214</v>
      </c>
      <c r="C96" s="2"/>
      <c r="G96"/>
      <c r="H96" s="2"/>
      <c r="J96"/>
      <c r="K96" s="2"/>
    </row>
    <row r="97" spans="1:11" x14ac:dyDescent="0.25">
      <c r="A97" s="2" t="s">
        <v>217</v>
      </c>
      <c r="B97" s="2" t="s">
        <v>216</v>
      </c>
      <c r="C97" s="2"/>
      <c r="G97"/>
      <c r="H97" s="2"/>
      <c r="J97"/>
      <c r="K97" s="2"/>
    </row>
    <row r="98" spans="1:11" x14ac:dyDescent="0.25">
      <c r="A98" s="2" t="s">
        <v>36</v>
      </c>
      <c r="B98" s="7" t="s">
        <v>37</v>
      </c>
      <c r="C98" s="2"/>
      <c r="G98"/>
      <c r="H98" s="2"/>
      <c r="J98"/>
      <c r="K98" s="2"/>
    </row>
    <row r="99" spans="1:11" x14ac:dyDescent="0.25">
      <c r="A99" s="2" t="s">
        <v>219</v>
      </c>
      <c r="B99" s="2" t="s">
        <v>218</v>
      </c>
      <c r="C99" s="2"/>
      <c r="G99"/>
      <c r="H99" s="2"/>
      <c r="J99"/>
      <c r="K99" s="2"/>
    </row>
    <row r="100" spans="1:11" x14ac:dyDescent="0.25">
      <c r="A100" s="2" t="s">
        <v>221</v>
      </c>
      <c r="B100" s="2" t="s">
        <v>220</v>
      </c>
      <c r="C100" s="2"/>
      <c r="G100"/>
      <c r="H100" s="2"/>
      <c r="J100"/>
      <c r="K100" s="2"/>
    </row>
    <row r="101" spans="1:11" x14ac:dyDescent="0.25">
      <c r="A101" s="2" t="s">
        <v>223</v>
      </c>
      <c r="B101" s="2" t="s">
        <v>222</v>
      </c>
      <c r="C101" s="2"/>
      <c r="G101"/>
      <c r="H101" s="2"/>
      <c r="J101"/>
      <c r="K101" s="2"/>
    </row>
    <row r="102" spans="1:11" x14ac:dyDescent="0.25">
      <c r="A102" s="2" t="s">
        <v>225</v>
      </c>
      <c r="B102" s="2" t="s">
        <v>224</v>
      </c>
      <c r="C102" s="2"/>
      <c r="G102"/>
      <c r="H102" s="2"/>
      <c r="J102"/>
      <c r="K102" s="2"/>
    </row>
    <row r="103" spans="1:11" x14ac:dyDescent="0.25">
      <c r="C103" s="2"/>
      <c r="G103"/>
      <c r="H103" s="2"/>
      <c r="J103"/>
      <c r="K103" s="2"/>
    </row>
    <row r="104" spans="1:11" x14ac:dyDescent="0.25">
      <c r="C104" s="2"/>
      <c r="G104"/>
      <c r="H104" s="2"/>
      <c r="J104"/>
      <c r="K104" s="2"/>
    </row>
    <row r="105" spans="1:11" x14ac:dyDescent="0.25">
      <c r="C105" s="2"/>
      <c r="G105"/>
      <c r="H105" s="2"/>
      <c r="J105"/>
      <c r="K105" s="2"/>
    </row>
    <row r="106" spans="1:11" x14ac:dyDescent="0.25">
      <c r="C106" s="2"/>
      <c r="G106"/>
      <c r="H106" s="2"/>
      <c r="J106"/>
      <c r="K106" s="2"/>
    </row>
    <row r="107" spans="1:11" x14ac:dyDescent="0.25">
      <c r="C107" s="2"/>
      <c r="G107"/>
      <c r="H107" s="2"/>
      <c r="J107"/>
      <c r="K107" s="2"/>
    </row>
    <row r="108" spans="1:11" x14ac:dyDescent="0.25">
      <c r="C108" s="2"/>
      <c r="G108"/>
      <c r="H108" s="2"/>
      <c r="J108"/>
      <c r="K108" s="2"/>
    </row>
    <row r="109" spans="1:11" x14ac:dyDescent="0.25">
      <c r="C109" s="2"/>
      <c r="G109"/>
      <c r="H109" s="2"/>
      <c r="J109"/>
      <c r="K109" s="2"/>
    </row>
    <row r="110" spans="1:11" x14ac:dyDescent="0.25">
      <c r="C110" s="2"/>
      <c r="G110"/>
      <c r="H110" s="2"/>
      <c r="J110"/>
      <c r="K110" s="2"/>
    </row>
    <row r="111" spans="1:11" x14ac:dyDescent="0.25">
      <c r="C111" s="2"/>
      <c r="G111"/>
      <c r="H111" s="2"/>
      <c r="J111"/>
      <c r="K111" s="2"/>
    </row>
    <row r="112" spans="1:11" x14ac:dyDescent="0.25">
      <c r="C112" s="2"/>
      <c r="G112"/>
      <c r="H112" s="2"/>
      <c r="J112"/>
      <c r="K112" s="2"/>
    </row>
    <row r="113" spans="7:10" s="2" customFormat="1" x14ac:dyDescent="0.25">
      <c r="G113"/>
      <c r="J113"/>
    </row>
    <row r="114" spans="7:10" s="2" customFormat="1" x14ac:dyDescent="0.25">
      <c r="G114"/>
      <c r="J114"/>
    </row>
    <row r="115" spans="7:10" s="2" customFormat="1" x14ac:dyDescent="0.25">
      <c r="G115"/>
      <c r="J115"/>
    </row>
    <row r="116" spans="7:10" s="2" customFormat="1" x14ac:dyDescent="0.25">
      <c r="G116"/>
      <c r="J116"/>
    </row>
    <row r="117" spans="7:10" s="2" customFormat="1" x14ac:dyDescent="0.25">
      <c r="G117"/>
      <c r="J117"/>
    </row>
    <row r="118" spans="7:10" s="2" customFormat="1" x14ac:dyDescent="0.25">
      <c r="G118"/>
      <c r="J118"/>
    </row>
    <row r="119" spans="7:10" s="2" customFormat="1" x14ac:dyDescent="0.25">
      <c r="G119"/>
      <c r="J119"/>
    </row>
    <row r="120" spans="7:10" s="2" customFormat="1" x14ac:dyDescent="0.25">
      <c r="G120"/>
      <c r="J120"/>
    </row>
    <row r="121" spans="7:10" s="2" customFormat="1" x14ac:dyDescent="0.25">
      <c r="G121"/>
      <c r="J121"/>
    </row>
    <row r="122" spans="7:10" s="2" customFormat="1" x14ac:dyDescent="0.25">
      <c r="G122"/>
      <c r="J122"/>
    </row>
    <row r="123" spans="7:10" s="2" customFormat="1" x14ac:dyDescent="0.25">
      <c r="G123"/>
      <c r="J123"/>
    </row>
    <row r="124" spans="7:10" s="2" customFormat="1" x14ac:dyDescent="0.25">
      <c r="G124"/>
      <c r="J124"/>
    </row>
    <row r="125" spans="7:10" s="2" customFormat="1" x14ac:dyDescent="0.25">
      <c r="G125"/>
      <c r="J125"/>
    </row>
    <row r="126" spans="7:10" s="2" customFormat="1" x14ac:dyDescent="0.25">
      <c r="G126"/>
      <c r="J126"/>
    </row>
    <row r="127" spans="7:10" s="2" customFormat="1" x14ac:dyDescent="0.25">
      <c r="G127"/>
      <c r="J127"/>
    </row>
    <row r="128" spans="7:10" s="2" customFormat="1" x14ac:dyDescent="0.25">
      <c r="G128"/>
      <c r="J128"/>
    </row>
    <row r="129" spans="7:10" s="2" customFormat="1" x14ac:dyDescent="0.25">
      <c r="G129"/>
      <c r="J129"/>
    </row>
    <row r="130" spans="7:10" s="2" customFormat="1" x14ac:dyDescent="0.25">
      <c r="G130"/>
      <c r="J130"/>
    </row>
    <row r="131" spans="7:10" s="2" customFormat="1" x14ac:dyDescent="0.25">
      <c r="G131"/>
      <c r="J131"/>
    </row>
    <row r="132" spans="7:10" s="2" customFormat="1" x14ac:dyDescent="0.25">
      <c r="G132"/>
      <c r="J132"/>
    </row>
    <row r="133" spans="7:10" s="2" customFormat="1" x14ac:dyDescent="0.25">
      <c r="G133"/>
      <c r="J133"/>
    </row>
    <row r="134" spans="7:10" s="2" customFormat="1" x14ac:dyDescent="0.25">
      <c r="G134"/>
      <c r="J134"/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Contribution Sheet</vt:lpstr>
      <vt:lpstr>User Codes</vt:lpstr>
      <vt:lpstr>Branchcode</vt:lpstr>
      <vt:lpstr>DEPT</vt:lpstr>
      <vt:lpstr>exrates</vt:lpstr>
      <vt:lpstr>Incoterms</vt:lpstr>
      <vt:lpstr>Modeofshipment</vt:lpstr>
      <vt:lpstr>'Contribution Sheet'!Print_Area</vt:lpstr>
      <vt:lpstr>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ShibuSam</dc:creator>
  <cp:lastModifiedBy>VIRENDRA</cp:lastModifiedBy>
  <cp:lastPrinted>2021-11-25T06:35:48Z</cp:lastPrinted>
  <dcterms:created xsi:type="dcterms:W3CDTF">2015-06-05T18:17:20Z</dcterms:created>
  <dcterms:modified xsi:type="dcterms:W3CDTF">2025-09-03T13:31:54Z</dcterms:modified>
</cp:coreProperties>
</file>